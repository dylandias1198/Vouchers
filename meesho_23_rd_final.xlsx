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dylan.dias/Downloads/"/>
    </mc:Choice>
  </mc:AlternateContent>
  <xr:revisionPtr revIDLastSave="0" documentId="8_{BBFA5796-3B16-D245-ABDA-E35370BEA59B}" xr6:coauthVersionLast="47" xr6:coauthVersionMax="47" xr10:uidLastSave="{00000000-0000-0000-0000-000000000000}"/>
  <bookViews>
    <workbookView xWindow="0" yWindow="780" windowWidth="36000" windowHeight="21320" xr2:uid="{00000000-000D-0000-FFFF-FFFF00000000}"/>
  </bookViews>
  <sheets>
    <sheet name="Query result" sheetId="1" r:id="rId1"/>
    <sheet name="L2" sheetId="2" r:id="rId2"/>
    <sheet name="pivots" sheetId="3" r:id="rId3"/>
  </sheets>
  <definedNames>
    <definedName name="_xlnm._FilterDatabase" localSheetId="0" hidden="1">'Query result'!$A$1:$E$265</definedName>
  </definedNames>
  <calcPr calcId="191029"/>
  <pivotCaches>
    <pivotCache cacheId="0" r:id="rId4"/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2" l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H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E16" i="3"/>
  <c r="E17" i="3"/>
  <c r="D17" i="3"/>
  <c r="D16" i="3"/>
  <c r="F263" i="1"/>
  <c r="D15" i="3"/>
  <c r="C15" i="3"/>
  <c r="D14" i="3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" i="2"/>
  <c r="D12" i="3"/>
  <c r="D13" i="3"/>
  <c r="D11" i="3"/>
  <c r="D10" i="3"/>
  <c r="D9" i="3"/>
  <c r="D8" i="3"/>
  <c r="D7" i="3"/>
  <c r="D6" i="3"/>
  <c r="D5" i="3"/>
  <c r="D4" i="3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" i="2"/>
</calcChain>
</file>

<file path=xl/sharedStrings.xml><?xml version="1.0" encoding="utf-8"?>
<sst xmlns="http://schemas.openxmlformats.org/spreadsheetml/2006/main" count="636" uniqueCount="93">
  <si>
    <t>date</t>
  </si>
  <si>
    <t>view_type</t>
  </si>
  <si>
    <t>funnel_step</t>
  </si>
  <si>
    <t>count</t>
  </si>
  <si>
    <t>percent_conversion</t>
  </si>
  <si>
    <t>DATEWISE</t>
  </si>
  <si>
    <t>Total Users</t>
  </si>
  <si>
    <t>User Data Success</t>
  </si>
  <si>
    <t>KYC User Data Success</t>
  </si>
  <si>
    <t>CKYC Search Done</t>
  </si>
  <si>
    <t>CKYC Downloaded</t>
  </si>
  <si>
    <t>CKYC Verified</t>
  </si>
  <si>
    <t>CKYC Success</t>
  </si>
  <si>
    <t>Fallback to Digilocker</t>
  </si>
  <si>
    <t>Digilocker Success</t>
  </si>
  <si>
    <t>KYC Success</t>
  </si>
  <si>
    <t>KFS Success</t>
  </si>
  <si>
    <t>MITC Success</t>
  </si>
  <si>
    <t>AGGREGATED</t>
  </si>
  <si>
    <t>report_date</t>
  </si>
  <si>
    <t>total_user_after_dedupe_and_eligibility</t>
  </si>
  <si>
    <t>ckyc_search_initiated</t>
  </si>
  <si>
    <t>internal_validation_failed_after_ckyc_download</t>
  </si>
  <si>
    <t>ckyc_downloaded</t>
  </si>
  <si>
    <t>ckyc_downloaded_internal_validation_passed</t>
  </si>
  <si>
    <t>ckyc_verified</t>
  </si>
  <si>
    <t>ckyc_verified_but_fb_to_aadhaar</t>
  </si>
  <si>
    <t>ckyc_verified_but_document_pending</t>
  </si>
  <si>
    <t>fallback_to_aadhaar</t>
  </si>
  <si>
    <t>aadhaar_linkage_check_pass</t>
  </si>
  <si>
    <t>aadhaar_linkage_pass</t>
  </si>
  <si>
    <t>axml_name_match_pass</t>
  </si>
  <si>
    <t>axml_face_match_pass</t>
  </si>
  <si>
    <t>axml_unique_aadhaar_pan_pass</t>
  </si>
  <si>
    <t>axml_gender_match_pass</t>
  </si>
  <si>
    <t>axml_success</t>
  </si>
  <si>
    <t>axml_success_percent</t>
  </si>
  <si>
    <t>ckyc_success</t>
  </si>
  <si>
    <t>ckyc_success_percent</t>
  </si>
  <si>
    <t>total_kyc_success</t>
  </si>
  <si>
    <t>total_kyc_success_percent</t>
  </si>
  <si>
    <t>kyc_success_pending_on_next_step</t>
  </si>
  <si>
    <t>father_name_collected</t>
  </si>
  <si>
    <t>father_name_collected_percent</t>
  </si>
  <si>
    <t>father_name_drop_off</t>
  </si>
  <si>
    <t>inline_ineligible</t>
  </si>
  <si>
    <t>inline_progress</t>
  </si>
  <si>
    <t>kfs_drop_off</t>
  </si>
  <si>
    <t>kfs_drop_off_percent</t>
  </si>
  <si>
    <t>mitc_success_ckyc</t>
  </si>
  <si>
    <t>mitc_success_axml</t>
  </si>
  <si>
    <t>mitc_success</t>
  </si>
  <si>
    <t>mitc_success_percent</t>
  </si>
  <si>
    <t>1st to 21st Sept</t>
  </si>
  <si>
    <t>ckyc_search_percent</t>
  </si>
  <si>
    <t>Count</t>
  </si>
  <si>
    <t>Percent</t>
  </si>
  <si>
    <t>DOWNLOADED</t>
  </si>
  <si>
    <t>DOWNLOADED_VALIDATION_FAILED</t>
  </si>
  <si>
    <t>DOWNLOADED_VALIDATION_FAILED_DUE_TO_NATIONALITY_CHECK</t>
  </si>
  <si>
    <t>ERROR</t>
  </si>
  <si>
    <t>NOT_FOUND</t>
  </si>
  <si>
    <t>SEARCHED</t>
  </si>
  <si>
    <t>VERIFIED</t>
  </si>
  <si>
    <t>Row Labels</t>
  </si>
  <si>
    <t>(blank)</t>
  </si>
  <si>
    <t>Grand Total</t>
  </si>
  <si>
    <t>Sum of cnt</t>
  </si>
  <si>
    <t>SEARCH_VALIDATION_FAILED</t>
  </si>
  <si>
    <t>CKYC Error</t>
  </si>
  <si>
    <t>CKYC Search Initiated</t>
  </si>
  <si>
    <t>CKYC Not Found</t>
  </si>
  <si>
    <t>CKYC Search Validation Error</t>
  </si>
  <si>
    <t>CKYC Searched But No OTP Entered</t>
  </si>
  <si>
    <t>CKYC Download Validation Error</t>
  </si>
  <si>
    <t>Fallback to Aadhaar</t>
  </si>
  <si>
    <t>AXML Success</t>
  </si>
  <si>
    <t>"CKYC_RECORD_FOUND"</t>
  </si>
  <si>
    <t>"CKYC_HV_VALIDATION"</t>
  </si>
  <si>
    <t>"CKYC_IMAGE_LIST_VALIDATION"</t>
  </si>
  <si>
    <t>"CKYC_RECORD_AGE"</t>
  </si>
  <si>
    <t>"CKYC_DOB_VALIDATION"</t>
  </si>
  <si>
    <t>"CKYC_GENDER_MATCH"</t>
  </si>
  <si>
    <t>"CKYC_OVD_DOC"</t>
  </si>
  <si>
    <t>"CKYC_FACE_MATCH"</t>
  </si>
  <si>
    <t>"CKYC_MOB_NUM_VALIDATION"</t>
  </si>
  <si>
    <t>"CKYC_NUM_VALIDATION"</t>
  </si>
  <si>
    <t>"CKYC_IDENTITY_VALIDATION"</t>
  </si>
  <si>
    <t>"CKYC_RESIDENCE_NATIONALITY_VALIDATION"</t>
  </si>
  <si>
    <t>Unknown</t>
  </si>
  <si>
    <t>Reason</t>
  </si>
  <si>
    <t>Total</t>
  </si>
  <si>
    <t>check if we can relax this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</si>
</sst>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\ d\,\ yyyy"/>
    <numFmt numFmtId="165" formatCode="#,##0.##########"/>
  </numFmts>
  <fonts count="4" x14ac:knownFonts="1">
    <font>
      <sz val="11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Alignment="1">
      <alignment horizontal="center"/>
    </xf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9" fontId="0" fillId="0" borderId="1" xfId="1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9" fontId="0" fillId="0" borderId="2" xfId="1" applyFont="1" applyBorder="1" applyAlignment="1">
      <alignment horizontal="center"/>
    </xf>
    <xf numFmtId="0" fontId="0" fillId="0" borderId="1" xfId="0" applyBorder="1"/>
    <xf numFmtId="3" fontId="0" fillId="0" borderId="1" xfId="0" applyNumberFormat="1" applyBorder="1"/>
    <xf numFmtId="0" fontId="0" fillId="2" borderId="1" xfId="0" applyFill="1" applyBorder="1" applyAlignment="1">
      <alignment horizontal="center"/>
    </xf>
    <xf numFmtId="9" fontId="0" fillId="2" borderId="1" xfId="1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9" fontId="2" fillId="0" borderId="1" xfId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9" fontId="3" fillId="0" borderId="1" xfId="1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0" xfId="0" applyFont="1"/>
    <xf numFmtId="9" fontId="3" fillId="2" borderId="1" xfId="1" applyFont="1" applyFill="1" applyBorder="1" applyAlignment="1">
      <alignment horizontal="center"/>
    </xf>
    <xf numFmtId="9" fontId="3" fillId="0" borderId="0" xfId="1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meesho_presentation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meesho_presentation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ylan.dias" refreshedDate="46287.470428472225" createdVersion="8" refreshedVersion="8" minRefreshableVersion="3" recordCount="160" xr:uid="{CF4B922F-C57B-A34C-8D51-FA9A5A1DBFDE}">
  <cacheSource type="worksheet">
    <worksheetSource ref="A1:D161" sheet="Sheet5" r:id="rId2"/>
  </cacheSource>
  <cacheFields count="4">
    <cacheField name="date_val" numFmtId="164">
      <sharedItems containsSemiMixedTypes="0" containsNonDate="0" containsDate="1" containsString="0" minDate="2026-09-01T00:00:00" maxDate="2026-09-22T00:00:00"/>
    </cacheField>
    <cacheField name="ckyc_status" numFmtId="0">
      <sharedItems containsBlank="1" count="9">
        <s v="DOWNLOADED"/>
        <s v="DOWNLOADED_VALIDATION_FAILED"/>
        <s v="ERROR"/>
        <s v="SEARCHED"/>
        <s v="VERIFIED"/>
        <m/>
        <s v="NOT_FOUND"/>
        <s v="SEARCH_VALIDATION_FAILED"/>
        <s v="DOWNLOADED_VALIDATION_FAILED_DUE_TO_NATIONALITY_CHECK"/>
      </sharedItems>
    </cacheField>
    <cacheField name="cnt" numFmtId="3">
      <sharedItems containsSemiMixedTypes="0" containsString="0" containsNumber="1" containsInteger="1" minValue="1" maxValue="10328"/>
    </cacheField>
    <cacheField name="percent" numFmtId="165">
      <sharedItems containsSemiMixedTypes="0" containsString="0" containsNumber="1" minValue="5.6698983535170555E-3" maxValue="66.8168869018554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ylan.dias" refreshedDate="46287.489325462964" createdVersion="8" refreshedVersion="8" minRefreshableVersion="3" recordCount="185" xr:uid="{71048514-089A-DD4A-B355-82BE37BE1FAD}">
  <cacheSource type="worksheet">
    <worksheetSource ref="J1:M186" sheet="Sheet5" r:id="rId2"/>
  </cacheSource>
  <cacheFields count="4">
    <cacheField name="date_val" numFmtId="164">
      <sharedItems/>
    </cacheField>
    <cacheField name="request" numFmtId="0">
      <sharedItems containsBlank="1" count="13">
        <s v="&quot;CKYC_RECORD_FOUND&quot;"/>
        <s v="&quot;CKYC_HV_VALIDATION&quot;"/>
        <s v="&quot;CKYC_IMAGE_LIST_VALIDATION&quot;"/>
        <m/>
        <s v="&quot;CKYC_RECORD_AGE&quot;"/>
        <s v="&quot;CKYC_DOB_VALIDATION&quot;"/>
        <s v="&quot;CKYC_GENDER_MATCH&quot;"/>
        <s v="&quot;CKYC_OVD_DOC&quot;"/>
        <s v="&quot;CKYC_FACE_MATCH&quot;"/>
        <s v="&quot;CKYC_MOB_NUM_VALIDATION&quot;"/>
        <s v="&quot;CKYC_NUM_VALIDATION&quot;"/>
        <s v="&quot;CKYC_IDENTITY_VALIDATION&quot;"/>
        <s v="&quot;CKYC_RESIDENCE_NATIONALITY_VALIDATION&quot;"/>
      </sharedItems>
    </cacheField>
    <cacheField name="cnt" numFmtId="3">
      <sharedItems containsSemiMixedTypes="0" containsString="0" containsNumber="1" containsInteger="1" minValue="1" maxValue="7248"/>
    </cacheField>
    <cacheField name="percent" numFmtId="0">
      <sharedItems containsSemiMixedTypes="0" containsString="0" containsNumber="1" minValue="0.01" maxValue="91.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0">
  <r>
    <d v="2026-09-01T00:00:00"/>
    <x v="0"/>
    <n v="1"/>
    <n v="5.0025016069412231E-2"/>
  </r>
  <r>
    <d v="2026-09-01T00:00:00"/>
    <x v="1"/>
    <n v="947"/>
    <n v="47.373687744140625"/>
  </r>
  <r>
    <d v="2026-09-01T00:00:00"/>
    <x v="2"/>
    <n v="1"/>
    <n v="5.0025016069412231E-2"/>
  </r>
  <r>
    <d v="2026-09-01T00:00:00"/>
    <x v="3"/>
    <n v="163"/>
    <n v="8.1540775299072266"/>
  </r>
  <r>
    <d v="2026-09-01T00:00:00"/>
    <x v="4"/>
    <n v="504"/>
    <n v="25.212606430053711"/>
  </r>
  <r>
    <d v="2026-09-01T00:00:00"/>
    <x v="5"/>
    <n v="383"/>
    <n v="19.159580230712891"/>
  </r>
  <r>
    <d v="2026-09-02T00:00:00"/>
    <x v="0"/>
    <n v="2"/>
    <n v="8.948545902967453E-2"/>
  </r>
  <r>
    <d v="2026-09-02T00:00:00"/>
    <x v="1"/>
    <n v="1164"/>
    <n v="52.080535888671875"/>
  </r>
  <r>
    <d v="2026-09-02T00:00:00"/>
    <x v="2"/>
    <n v="4"/>
    <n v="0.17897091805934906"/>
  </r>
  <r>
    <d v="2026-09-02T00:00:00"/>
    <x v="6"/>
    <n v="1"/>
    <n v="4.4742729514837265E-2"/>
  </r>
  <r>
    <d v="2026-09-02T00:00:00"/>
    <x v="3"/>
    <n v="180"/>
    <n v="8.0536909103393555"/>
  </r>
  <r>
    <d v="2026-09-02T00:00:00"/>
    <x v="4"/>
    <n v="681"/>
    <n v="30.469799041748047"/>
  </r>
  <r>
    <d v="2026-09-02T00:00:00"/>
    <x v="5"/>
    <n v="203"/>
    <n v="9.0827741622924805"/>
  </r>
  <r>
    <d v="2026-09-03T00:00:00"/>
    <x v="0"/>
    <n v="5"/>
    <n v="0.24050024151802063"/>
  </r>
  <r>
    <d v="2026-09-03T00:00:00"/>
    <x v="1"/>
    <n v="1105"/>
    <n v="53.150550842285156"/>
  </r>
  <r>
    <d v="2026-09-03T00:00:00"/>
    <x v="2"/>
    <n v="1"/>
    <n v="4.8100050538778305E-2"/>
  </r>
  <r>
    <d v="2026-09-03T00:00:00"/>
    <x v="6"/>
    <n v="1"/>
    <n v="4.8100050538778305E-2"/>
  </r>
  <r>
    <d v="2026-09-03T00:00:00"/>
    <x v="3"/>
    <n v="196"/>
    <n v="9.4276094436645508"/>
  </r>
  <r>
    <d v="2026-09-03T00:00:00"/>
    <x v="4"/>
    <n v="554"/>
    <n v="26.647428512573242"/>
  </r>
  <r>
    <d v="2026-09-03T00:00:00"/>
    <x v="5"/>
    <n v="217"/>
    <n v="10.437710762023926"/>
  </r>
  <r>
    <d v="2026-09-04T00:00:00"/>
    <x v="0"/>
    <n v="3"/>
    <n v="4.3459363281726837E-2"/>
  </r>
  <r>
    <d v="2026-09-04T00:00:00"/>
    <x v="1"/>
    <n v="4451"/>
    <n v="64.479217529296875"/>
  </r>
  <r>
    <d v="2026-09-04T00:00:00"/>
    <x v="2"/>
    <n v="5"/>
    <n v="7.2432272136211395E-2"/>
  </r>
  <r>
    <d v="2026-09-04T00:00:00"/>
    <x v="6"/>
    <n v="1"/>
    <n v="1.4486454427242279E-2"/>
  </r>
  <r>
    <d v="2026-09-04T00:00:00"/>
    <x v="3"/>
    <n v="771"/>
    <n v="11.16905689239502"/>
  </r>
  <r>
    <d v="2026-09-04T00:00:00"/>
    <x v="7"/>
    <n v="1"/>
    <n v="1.4486454427242279E-2"/>
  </r>
  <r>
    <d v="2026-09-04T00:00:00"/>
    <x v="4"/>
    <n v="1045"/>
    <n v="15.138345718383789"/>
  </r>
  <r>
    <d v="2026-09-04T00:00:00"/>
    <x v="5"/>
    <n v="626"/>
    <n v="9.0685214996337891"/>
  </r>
  <r>
    <d v="2026-09-05T00:00:00"/>
    <x v="0"/>
    <n v="8"/>
    <n v="9.812338650226593E-2"/>
  </r>
  <r>
    <d v="2026-09-05T00:00:00"/>
    <x v="1"/>
    <n v="4391"/>
    <n v="53.857475280761719"/>
  </r>
  <r>
    <d v="2026-09-05T00:00:00"/>
    <x v="2"/>
    <n v="9"/>
    <n v="0.11038881540298462"/>
  </r>
  <r>
    <d v="2026-09-05T00:00:00"/>
    <x v="6"/>
    <n v="6"/>
    <n v="7.3592543601989746E-2"/>
  </r>
  <r>
    <d v="2026-09-05T00:00:00"/>
    <x v="3"/>
    <n v="809"/>
    <n v="9.9227275848388672"/>
  </r>
  <r>
    <d v="2026-09-05T00:00:00"/>
    <x v="4"/>
    <n v="2402"/>
    <n v="29.4615478515625"/>
  </r>
  <r>
    <d v="2026-09-05T00:00:00"/>
    <x v="5"/>
    <n v="528"/>
    <n v="6.4761438369750977"/>
  </r>
  <r>
    <d v="2026-09-06T00:00:00"/>
    <x v="0"/>
    <n v="3"/>
    <n v="7.2411298751831055E-2"/>
  </r>
  <r>
    <d v="2026-09-06T00:00:00"/>
    <x v="1"/>
    <n v="2288"/>
    <n v="55.225681304931641"/>
  </r>
  <r>
    <d v="2026-09-06T00:00:00"/>
    <x v="8"/>
    <n v="1"/>
    <n v="2.4137098342180252E-2"/>
  </r>
  <r>
    <d v="2026-09-06T00:00:00"/>
    <x v="2"/>
    <n v="5"/>
    <n v="0.12068549543619156"/>
  </r>
  <r>
    <d v="2026-09-06T00:00:00"/>
    <x v="6"/>
    <n v="5"/>
    <n v="0.12068549543619156"/>
  </r>
  <r>
    <d v="2026-09-06T00:00:00"/>
    <x v="3"/>
    <n v="363"/>
    <n v="8.7617664337158203"/>
  </r>
  <r>
    <d v="2026-09-06T00:00:00"/>
    <x v="4"/>
    <n v="1141"/>
    <n v="27.540430068969727"/>
  </r>
  <r>
    <d v="2026-09-06T00:00:00"/>
    <x v="5"/>
    <n v="337"/>
    <n v="8.1342020034790039"/>
  </r>
  <r>
    <d v="2026-09-07T00:00:00"/>
    <x v="0"/>
    <n v="2"/>
    <n v="6.680026650428772E-2"/>
  </r>
  <r>
    <d v="2026-09-07T00:00:00"/>
    <x v="1"/>
    <n v="1653"/>
    <n v="55.210422515869141"/>
  </r>
  <r>
    <d v="2026-09-07T00:00:00"/>
    <x v="2"/>
    <n v="3"/>
    <n v="0.10020039975643158"/>
  </r>
  <r>
    <d v="2026-09-07T00:00:00"/>
    <x v="6"/>
    <n v="2"/>
    <n v="6.680026650428772E-2"/>
  </r>
  <r>
    <d v="2026-09-07T00:00:00"/>
    <x v="3"/>
    <n v="295"/>
    <n v="9.8530397415161133"/>
  </r>
  <r>
    <d v="2026-09-07T00:00:00"/>
    <x v="4"/>
    <n v="814"/>
    <n v="27.187707901000977"/>
  </r>
  <r>
    <d v="2026-09-07T00:00:00"/>
    <x v="5"/>
    <n v="225"/>
    <n v="7.5150303840637207"/>
  </r>
  <r>
    <d v="2026-09-08T00:00:00"/>
    <x v="0"/>
    <n v="1"/>
    <n v="2.3719165474176407E-2"/>
  </r>
  <r>
    <d v="2026-09-08T00:00:00"/>
    <x v="1"/>
    <n v="2817"/>
    <n v="66.816886901855469"/>
  </r>
  <r>
    <d v="2026-09-08T00:00:00"/>
    <x v="8"/>
    <n v="1"/>
    <n v="2.3719165474176407E-2"/>
  </r>
  <r>
    <d v="2026-09-08T00:00:00"/>
    <x v="2"/>
    <n v="6"/>
    <n v="0.14231500029563904"/>
  </r>
  <r>
    <d v="2026-09-08T00:00:00"/>
    <x v="6"/>
    <n v="5"/>
    <n v="0.11859582364559174"/>
  </r>
  <r>
    <d v="2026-09-08T00:00:00"/>
    <x v="3"/>
    <n v="268"/>
    <n v="6.3567361831665039"/>
  </r>
  <r>
    <d v="2026-09-08T00:00:00"/>
    <x v="4"/>
    <n v="742"/>
    <n v="17.599620819091797"/>
  </r>
  <r>
    <d v="2026-09-08T00:00:00"/>
    <x v="5"/>
    <n v="376"/>
    <n v="8.9184064865112305"/>
  </r>
  <r>
    <d v="2026-09-09T00:00:00"/>
    <x v="0"/>
    <n v="5"/>
    <n v="8.3277814090251923E-2"/>
  </r>
  <r>
    <d v="2026-09-09T00:00:00"/>
    <x v="1"/>
    <n v="3324"/>
    <n v="55.363090515136719"/>
  </r>
  <r>
    <d v="2026-09-09T00:00:00"/>
    <x v="8"/>
    <n v="4"/>
    <n v="6.6622257232666016E-2"/>
  </r>
  <r>
    <d v="2026-09-09T00:00:00"/>
    <x v="2"/>
    <n v="4"/>
    <n v="6.6622257232666016E-2"/>
  </r>
  <r>
    <d v="2026-09-09T00:00:00"/>
    <x v="6"/>
    <n v="2"/>
    <n v="3.3311128616333008E-2"/>
  </r>
  <r>
    <d v="2026-09-09T00:00:00"/>
    <x v="3"/>
    <n v="605"/>
    <n v="10.076616287231445"/>
  </r>
  <r>
    <d v="2026-09-09T00:00:00"/>
    <x v="4"/>
    <n v="1665"/>
    <n v="27.731510162353516"/>
  </r>
  <r>
    <d v="2026-09-09T00:00:00"/>
    <x v="5"/>
    <n v="395"/>
    <n v="6.5789475440979004"/>
  </r>
  <r>
    <d v="2026-09-10T00:00:00"/>
    <x v="0"/>
    <n v="1"/>
    <n v="1.0678056627511978E-2"/>
  </r>
  <r>
    <d v="2026-09-10T00:00:00"/>
    <x v="1"/>
    <n v="4924"/>
    <n v="52.578754425048828"/>
  </r>
  <r>
    <d v="2026-09-10T00:00:00"/>
    <x v="8"/>
    <n v="1"/>
    <n v="1.0678056627511978E-2"/>
  </r>
  <r>
    <d v="2026-09-10T00:00:00"/>
    <x v="2"/>
    <n v="14"/>
    <n v="0.1494927853345871"/>
  </r>
  <r>
    <d v="2026-09-10T00:00:00"/>
    <x v="6"/>
    <n v="4"/>
    <n v="4.2712226510047913E-2"/>
  </r>
  <r>
    <d v="2026-09-10T00:00:00"/>
    <x v="3"/>
    <n v="1042"/>
    <n v="11.126534461975098"/>
  </r>
  <r>
    <d v="2026-09-10T00:00:00"/>
    <x v="4"/>
    <n v="2731"/>
    <n v="29.161771774291992"/>
  </r>
  <r>
    <d v="2026-09-10T00:00:00"/>
    <x v="5"/>
    <n v="648"/>
    <n v="6.9193811416625977"/>
  </r>
  <r>
    <d v="2026-09-11T00:00:00"/>
    <x v="0"/>
    <n v="4"/>
    <n v="4.2105261236429214E-2"/>
  </r>
  <r>
    <d v="2026-09-11T00:00:00"/>
    <x v="1"/>
    <n v="5151"/>
    <n v="54.221050262451172"/>
  </r>
  <r>
    <d v="2026-09-11T00:00:00"/>
    <x v="2"/>
    <n v="7"/>
    <n v="7.36842080950737E-2"/>
  </r>
  <r>
    <d v="2026-09-11T00:00:00"/>
    <x v="6"/>
    <n v="4"/>
    <n v="4.2105261236429214E-2"/>
  </r>
  <r>
    <d v="2026-09-11T00:00:00"/>
    <x v="3"/>
    <n v="1147"/>
    <n v="12.073684692382812"/>
  </r>
  <r>
    <d v="2026-09-11T00:00:00"/>
    <x v="4"/>
    <n v="2598"/>
    <n v="27.347368240356445"/>
  </r>
  <r>
    <d v="2026-09-11T00:00:00"/>
    <x v="5"/>
    <n v="589"/>
    <n v="6.1999998092651367"/>
  </r>
  <r>
    <d v="2026-09-12T00:00:00"/>
    <x v="0"/>
    <n v="1"/>
    <n v="1.0521885007619858E-2"/>
  </r>
  <r>
    <d v="2026-09-12T00:00:00"/>
    <x v="1"/>
    <n v="5376"/>
    <n v="56.565654754638672"/>
  </r>
  <r>
    <d v="2026-09-12T00:00:00"/>
    <x v="8"/>
    <n v="1"/>
    <n v="1.0521885007619858E-2"/>
  </r>
  <r>
    <d v="2026-09-12T00:00:00"/>
    <x v="2"/>
    <n v="9"/>
    <n v="9.4696968793869019E-2"/>
  </r>
  <r>
    <d v="2026-09-12T00:00:00"/>
    <x v="6"/>
    <n v="1"/>
    <n v="1.0521885007619858E-2"/>
  </r>
  <r>
    <d v="2026-09-12T00:00:00"/>
    <x v="3"/>
    <n v="1251"/>
    <n v="13.162878036499023"/>
  </r>
  <r>
    <d v="2026-09-12T00:00:00"/>
    <x v="7"/>
    <n v="1"/>
    <n v="1.0521885007619858E-2"/>
  </r>
  <r>
    <d v="2026-09-12T00:00:00"/>
    <x v="4"/>
    <n v="2280"/>
    <n v="23.989898681640625"/>
  </r>
  <r>
    <d v="2026-09-12T00:00:00"/>
    <x v="5"/>
    <n v="584"/>
    <n v="6.1447811126708984"/>
  </r>
  <r>
    <d v="2026-09-13T00:00:00"/>
    <x v="0"/>
    <n v="6"/>
    <n v="5.5756896734237671E-2"/>
  </r>
  <r>
    <d v="2026-09-13T00:00:00"/>
    <x v="1"/>
    <n v="5985"/>
    <n v="55.617504119873047"/>
  </r>
  <r>
    <d v="2026-09-13T00:00:00"/>
    <x v="2"/>
    <n v="9"/>
    <n v="8.3635352551937103E-2"/>
  </r>
  <r>
    <d v="2026-09-13T00:00:00"/>
    <x v="6"/>
    <n v="8"/>
    <n v="7.4342533946037292E-2"/>
  </r>
  <r>
    <d v="2026-09-13T00:00:00"/>
    <x v="3"/>
    <n v="1347"/>
    <n v="12.517423629760742"/>
  </r>
  <r>
    <d v="2026-09-13T00:00:00"/>
    <x v="4"/>
    <n v="2737"/>
    <n v="25.434440612792969"/>
  </r>
  <r>
    <d v="2026-09-13T00:00:00"/>
    <x v="5"/>
    <n v="669"/>
    <n v="6.2168946266174316"/>
  </r>
  <r>
    <d v="2026-09-14T00:00:00"/>
    <x v="0"/>
    <n v="1"/>
    <n v="1.084245927631855E-2"/>
  </r>
  <r>
    <d v="2026-09-14T00:00:00"/>
    <x v="1"/>
    <n v="4917"/>
    <n v="53.312374114990234"/>
  </r>
  <r>
    <d v="2026-09-14T00:00:00"/>
    <x v="8"/>
    <n v="1"/>
    <n v="1.084245927631855E-2"/>
  </r>
  <r>
    <d v="2026-09-14T00:00:00"/>
    <x v="2"/>
    <n v="5"/>
    <n v="5.4212294518947601E-2"/>
  </r>
  <r>
    <d v="2026-09-14T00:00:00"/>
    <x v="6"/>
    <n v="5"/>
    <n v="5.4212294518947601E-2"/>
  </r>
  <r>
    <d v="2026-09-14T00:00:00"/>
    <x v="3"/>
    <n v="1140"/>
    <n v="12.360404014587402"/>
  </r>
  <r>
    <d v="2026-09-14T00:00:00"/>
    <x v="4"/>
    <n v="2510"/>
    <n v="27.214570999145508"/>
  </r>
  <r>
    <d v="2026-09-14T00:00:00"/>
    <x v="5"/>
    <n v="644"/>
    <n v="6.9825434684753418"/>
  </r>
  <r>
    <d v="2026-09-15T00:00:00"/>
    <x v="0"/>
    <n v="1"/>
    <n v="1.263264287263155E-2"/>
  </r>
  <r>
    <d v="2026-09-15T00:00:00"/>
    <x v="1"/>
    <n v="4189"/>
    <n v="52.918140411376953"/>
  </r>
  <r>
    <d v="2026-09-15T00:00:00"/>
    <x v="2"/>
    <n v="9"/>
    <n v="0.11369378864765167"/>
  </r>
  <r>
    <d v="2026-09-15T00:00:00"/>
    <x v="6"/>
    <n v="3"/>
    <n v="3.7897929549217224E-2"/>
  </r>
  <r>
    <d v="2026-09-15T00:00:00"/>
    <x v="3"/>
    <n v="895"/>
    <n v="11.306215286254883"/>
  </r>
  <r>
    <d v="2026-09-15T00:00:00"/>
    <x v="4"/>
    <n v="2119"/>
    <n v="26.768571853637695"/>
  </r>
  <r>
    <d v="2026-09-15T00:00:00"/>
    <x v="5"/>
    <n v="700"/>
    <n v="8.8428497314453125"/>
  </r>
  <r>
    <d v="2026-09-16T00:00:00"/>
    <x v="0"/>
    <n v="1"/>
    <n v="1.3972334563732147E-2"/>
  </r>
  <r>
    <d v="2026-09-16T00:00:00"/>
    <x v="1"/>
    <n v="3987"/>
    <n v="55.707698822021484"/>
  </r>
  <r>
    <d v="2026-09-16T00:00:00"/>
    <x v="8"/>
    <n v="1"/>
    <n v="1.3972334563732147E-2"/>
  </r>
  <r>
    <d v="2026-09-16T00:00:00"/>
    <x v="2"/>
    <n v="5"/>
    <n v="6.9861672818660736E-2"/>
  </r>
  <r>
    <d v="2026-09-16T00:00:00"/>
    <x v="6"/>
    <n v="2"/>
    <n v="2.7944669127464294E-2"/>
  </r>
  <r>
    <d v="2026-09-16T00:00:00"/>
    <x v="3"/>
    <n v="796"/>
    <n v="11.121978759765625"/>
  </r>
  <r>
    <d v="2026-09-16T00:00:00"/>
    <x v="4"/>
    <n v="1854"/>
    <n v="25.904708862304688"/>
  </r>
  <r>
    <d v="2026-09-16T00:00:00"/>
    <x v="5"/>
    <n v="511"/>
    <n v="7.1398630142211914"/>
  </r>
  <r>
    <d v="2026-09-17T00:00:00"/>
    <x v="0"/>
    <n v="7"/>
    <n v="5.5897150188684464E-2"/>
  </r>
  <r>
    <d v="2026-09-17T00:00:00"/>
    <x v="1"/>
    <n v="6875"/>
    <n v="54.898983001708984"/>
  </r>
  <r>
    <d v="2026-09-17T00:00:00"/>
    <x v="8"/>
    <n v="2"/>
    <n v="1.5970613807439804E-2"/>
  </r>
  <r>
    <d v="2026-09-17T00:00:00"/>
    <x v="2"/>
    <n v="6"/>
    <n v="4.7911845147609711E-2"/>
  </r>
  <r>
    <d v="2026-09-17T00:00:00"/>
    <x v="6"/>
    <n v="6"/>
    <n v="4.7911845147609711E-2"/>
  </r>
  <r>
    <d v="2026-09-17T00:00:00"/>
    <x v="3"/>
    <n v="1525"/>
    <n v="12.177593231201172"/>
  </r>
  <r>
    <d v="2026-09-17T00:00:00"/>
    <x v="7"/>
    <n v="1"/>
    <n v="7.985306903719902E-3"/>
  </r>
  <r>
    <d v="2026-09-17T00:00:00"/>
    <x v="4"/>
    <n v="3190"/>
    <n v="25.473129272460938"/>
  </r>
  <r>
    <d v="2026-09-17T00:00:00"/>
    <x v="5"/>
    <n v="911"/>
    <n v="7.2746148109436035"/>
  </r>
  <r>
    <d v="2026-09-18T00:00:00"/>
    <x v="0"/>
    <n v="4"/>
    <n v="2.8270550072193146E-2"/>
  </r>
  <r>
    <d v="2026-09-18T00:00:00"/>
    <x v="1"/>
    <n v="7747"/>
    <n v="54.752986907958984"/>
  </r>
  <r>
    <d v="2026-09-18T00:00:00"/>
    <x v="8"/>
    <n v="1"/>
    <n v="7.0676375180482864E-3"/>
  </r>
  <r>
    <d v="2026-09-18T00:00:00"/>
    <x v="2"/>
    <n v="11"/>
    <n v="7.7744007110595703E-2"/>
  </r>
  <r>
    <d v="2026-09-18T00:00:00"/>
    <x v="6"/>
    <n v="4"/>
    <n v="2.8270550072193146E-2"/>
  </r>
  <r>
    <d v="2026-09-18T00:00:00"/>
    <x v="3"/>
    <n v="1911"/>
    <n v="13.506254196166992"/>
  </r>
  <r>
    <d v="2026-09-18T00:00:00"/>
    <x v="4"/>
    <n v="3393"/>
    <n v="23.980493545532227"/>
  </r>
  <r>
    <d v="2026-09-18T00:00:00"/>
    <x v="5"/>
    <n v="1078"/>
    <n v="7.6189131736755371"/>
  </r>
  <r>
    <d v="2026-09-19T00:00:00"/>
    <x v="0"/>
    <n v="9"/>
    <n v="5.1029086112976074E-2"/>
  </r>
  <r>
    <d v="2026-09-19T00:00:00"/>
    <x v="1"/>
    <n v="10328"/>
    <n v="58.5587158203125"/>
  </r>
  <r>
    <d v="2026-09-19T00:00:00"/>
    <x v="8"/>
    <n v="1"/>
    <n v="5.6698983535170555E-3"/>
  </r>
  <r>
    <d v="2026-09-19T00:00:00"/>
    <x v="2"/>
    <n v="9"/>
    <n v="5.1029086112976074E-2"/>
  </r>
  <r>
    <d v="2026-09-19T00:00:00"/>
    <x v="6"/>
    <n v="8"/>
    <n v="4.5359186828136444E-2"/>
  </r>
  <r>
    <d v="2026-09-19T00:00:00"/>
    <x v="3"/>
    <n v="2309"/>
    <n v="13.091794967651367"/>
  </r>
  <r>
    <d v="2026-09-19T00:00:00"/>
    <x v="4"/>
    <n v="3637"/>
    <n v="20.621419906616211"/>
  </r>
  <r>
    <d v="2026-09-19T00:00:00"/>
    <x v="5"/>
    <n v="1336"/>
    <n v="7.5749845504760742"/>
  </r>
  <r>
    <d v="2026-09-20T00:00:00"/>
    <x v="0"/>
    <n v="4"/>
    <n v="2.3660238832235336E-2"/>
  </r>
  <r>
    <d v="2026-09-20T00:00:00"/>
    <x v="1"/>
    <n v="9861"/>
    <n v="58.328403472900391"/>
  </r>
  <r>
    <d v="2026-09-20T00:00:00"/>
    <x v="8"/>
    <n v="1"/>
    <n v="5.9150597080588341E-3"/>
  </r>
  <r>
    <d v="2026-09-20T00:00:00"/>
    <x v="2"/>
    <n v="7"/>
    <n v="4.1405417025089264E-2"/>
  </r>
  <r>
    <d v="2026-09-20T00:00:00"/>
    <x v="6"/>
    <n v="2"/>
    <n v="1.1830119416117668E-2"/>
  </r>
  <r>
    <d v="2026-09-20T00:00:00"/>
    <x v="3"/>
    <n v="2142"/>
    <n v="12.670058250427246"/>
  </r>
  <r>
    <d v="2026-09-20T00:00:00"/>
    <x v="4"/>
    <n v="3555"/>
    <n v="21.028038024902344"/>
  </r>
  <r>
    <d v="2026-09-20T00:00:00"/>
    <x v="5"/>
    <n v="1334"/>
    <n v="7.8906893730163574"/>
  </r>
  <r>
    <d v="2026-09-21T00:00:00"/>
    <x v="0"/>
    <n v="7"/>
    <n v="4.8726160079240799E-2"/>
  </r>
  <r>
    <d v="2026-09-21T00:00:00"/>
    <x v="1"/>
    <n v="7754"/>
    <n v="53.974662780761719"/>
  </r>
  <r>
    <d v="2026-09-21T00:00:00"/>
    <x v="2"/>
    <n v="7"/>
    <n v="4.8726160079240799E-2"/>
  </r>
  <r>
    <d v="2026-09-21T00:00:00"/>
    <x v="6"/>
    <n v="2"/>
    <n v="1.3921759091317654E-2"/>
  </r>
  <r>
    <d v="2026-09-21T00:00:00"/>
    <x v="3"/>
    <n v="1961"/>
    <n v="13.650284767150879"/>
  </r>
  <r>
    <d v="2026-09-21T00:00:00"/>
    <x v="4"/>
    <n v="3450"/>
    <n v="24.015035629272461"/>
  </r>
  <r>
    <d v="2026-09-21T00:00:00"/>
    <x v="5"/>
    <n v="1185"/>
    <n v="8.248642921447753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5">
  <r>
    <s v="September 1, 2026"/>
    <x v="0"/>
    <n v="749"/>
    <n v="79.09"/>
  </r>
  <r>
    <s v="September 1, 2026"/>
    <x v="1"/>
    <n v="65"/>
    <n v="6.86"/>
  </r>
  <r>
    <s v="September 1, 2026"/>
    <x v="2"/>
    <n v="47"/>
    <n v="4.96"/>
  </r>
  <r>
    <s v="September 1, 2026"/>
    <x v="3"/>
    <n v="43"/>
    <n v="4.54"/>
  </r>
  <r>
    <s v="September 1, 2026"/>
    <x v="4"/>
    <n v="22"/>
    <n v="2.3199999999999998"/>
  </r>
  <r>
    <s v="September 1, 2026"/>
    <x v="5"/>
    <n v="8"/>
    <n v="0.84"/>
  </r>
  <r>
    <s v="September 1, 2026"/>
    <x v="6"/>
    <n v="8"/>
    <n v="0.84"/>
  </r>
  <r>
    <s v="September 1, 2026"/>
    <x v="7"/>
    <n v="5"/>
    <n v="0.53"/>
  </r>
  <r>
    <s v="September 2, 2026"/>
    <x v="0"/>
    <n v="929"/>
    <n v="79.81"/>
  </r>
  <r>
    <s v="September 2, 2026"/>
    <x v="1"/>
    <n v="79"/>
    <n v="6.79"/>
  </r>
  <r>
    <s v="September 2, 2026"/>
    <x v="2"/>
    <n v="48"/>
    <n v="4.12"/>
  </r>
  <r>
    <s v="September 2, 2026"/>
    <x v="3"/>
    <n v="47"/>
    <n v="4.04"/>
  </r>
  <r>
    <s v="September 2, 2026"/>
    <x v="4"/>
    <n v="29"/>
    <n v="2.4900000000000002"/>
  </r>
  <r>
    <s v="September 2, 2026"/>
    <x v="6"/>
    <n v="13"/>
    <n v="1.1200000000000001"/>
  </r>
  <r>
    <s v="September 2, 2026"/>
    <x v="5"/>
    <n v="11"/>
    <n v="0.95"/>
  </r>
  <r>
    <s v="September 2, 2026"/>
    <x v="7"/>
    <n v="8"/>
    <n v="0.69"/>
  </r>
  <r>
    <s v="September 3, 2026"/>
    <x v="0"/>
    <n v="863"/>
    <n v="78.099999999999994"/>
  </r>
  <r>
    <s v="September 3, 2026"/>
    <x v="1"/>
    <n v="84"/>
    <n v="7.6"/>
  </r>
  <r>
    <s v="September 3, 2026"/>
    <x v="2"/>
    <n v="50"/>
    <n v="4.5199999999999996"/>
  </r>
  <r>
    <s v="September 3, 2026"/>
    <x v="3"/>
    <n v="37"/>
    <n v="3.35"/>
  </r>
  <r>
    <s v="September 3, 2026"/>
    <x v="4"/>
    <n v="30"/>
    <n v="2.71"/>
  </r>
  <r>
    <s v="September 3, 2026"/>
    <x v="7"/>
    <n v="18"/>
    <n v="1.63"/>
  </r>
  <r>
    <s v="September 3, 2026"/>
    <x v="6"/>
    <n v="12"/>
    <n v="1.0900000000000001"/>
  </r>
  <r>
    <s v="September 3, 2026"/>
    <x v="5"/>
    <n v="11"/>
    <n v="1"/>
  </r>
  <r>
    <s v="September 4, 2026"/>
    <x v="0"/>
    <n v="4062"/>
    <n v="91.24"/>
  </r>
  <r>
    <s v="September 4, 2026"/>
    <x v="1"/>
    <n v="143"/>
    <n v="3.21"/>
  </r>
  <r>
    <s v="September 4, 2026"/>
    <x v="2"/>
    <n v="84"/>
    <n v="1.89"/>
  </r>
  <r>
    <s v="September 4, 2026"/>
    <x v="3"/>
    <n v="76"/>
    <n v="1.71"/>
  </r>
  <r>
    <s v="September 4, 2026"/>
    <x v="4"/>
    <n v="47"/>
    <n v="1.06"/>
  </r>
  <r>
    <s v="September 4, 2026"/>
    <x v="6"/>
    <n v="15"/>
    <n v="0.34"/>
  </r>
  <r>
    <s v="September 4, 2026"/>
    <x v="5"/>
    <n v="14"/>
    <n v="0.31"/>
  </r>
  <r>
    <s v="September 4, 2026"/>
    <x v="7"/>
    <n v="10"/>
    <n v="0.22"/>
  </r>
  <r>
    <s v="September 4, 2026"/>
    <x v="8"/>
    <n v="1"/>
    <n v="0.02"/>
  </r>
  <r>
    <s v="September 5, 2026"/>
    <x v="0"/>
    <n v="3378"/>
    <n v="76.91"/>
  </r>
  <r>
    <s v="September 5, 2026"/>
    <x v="1"/>
    <n v="389"/>
    <n v="8.86"/>
  </r>
  <r>
    <s v="September 5, 2026"/>
    <x v="2"/>
    <n v="207"/>
    <n v="4.71"/>
  </r>
  <r>
    <s v="September 5, 2026"/>
    <x v="3"/>
    <n v="203"/>
    <n v="4.62"/>
  </r>
  <r>
    <s v="September 5, 2026"/>
    <x v="4"/>
    <n v="107"/>
    <n v="2.44"/>
  </r>
  <r>
    <s v="September 5, 2026"/>
    <x v="7"/>
    <n v="53"/>
    <n v="1.21"/>
  </r>
  <r>
    <s v="September 5, 2026"/>
    <x v="5"/>
    <n v="29"/>
    <n v="0.66"/>
  </r>
  <r>
    <s v="September 5, 2026"/>
    <x v="6"/>
    <n v="25"/>
    <n v="0.56999999999999995"/>
  </r>
  <r>
    <s v="September 5, 2026"/>
    <x v="8"/>
    <n v="1"/>
    <n v="0.02"/>
  </r>
  <r>
    <s v="September 6, 2026"/>
    <x v="0"/>
    <n v="1857"/>
    <n v="81.16"/>
  </r>
  <r>
    <s v="September 6, 2026"/>
    <x v="1"/>
    <n v="137"/>
    <n v="5.99"/>
  </r>
  <r>
    <s v="September 6, 2026"/>
    <x v="3"/>
    <n v="101"/>
    <n v="4.41"/>
  </r>
  <r>
    <s v="September 6, 2026"/>
    <x v="2"/>
    <n v="90"/>
    <n v="3.93"/>
  </r>
  <r>
    <s v="September 6, 2026"/>
    <x v="4"/>
    <n v="53"/>
    <n v="2.3199999999999998"/>
  </r>
  <r>
    <s v="September 6, 2026"/>
    <x v="6"/>
    <n v="21"/>
    <n v="0.92"/>
  </r>
  <r>
    <s v="September 6, 2026"/>
    <x v="7"/>
    <n v="15"/>
    <n v="0.66"/>
  </r>
  <r>
    <s v="September 6, 2026"/>
    <x v="5"/>
    <n v="13"/>
    <n v="0.56999999999999995"/>
  </r>
  <r>
    <s v="September 6, 2026"/>
    <x v="9"/>
    <n v="1"/>
    <n v="0.04"/>
  </r>
  <r>
    <s v="September 7, 2026"/>
    <x v="0"/>
    <n v="1334"/>
    <n v="80.7"/>
  </r>
  <r>
    <s v="September 7, 2026"/>
    <x v="1"/>
    <n v="122"/>
    <n v="7.38"/>
  </r>
  <r>
    <s v="September 7, 2026"/>
    <x v="2"/>
    <n v="56"/>
    <n v="3.39"/>
  </r>
  <r>
    <s v="September 7, 2026"/>
    <x v="3"/>
    <n v="54"/>
    <n v="3.27"/>
  </r>
  <r>
    <s v="September 7, 2026"/>
    <x v="4"/>
    <n v="49"/>
    <n v="2.96"/>
  </r>
  <r>
    <s v="September 7, 2026"/>
    <x v="5"/>
    <n v="17"/>
    <n v="1.03"/>
  </r>
  <r>
    <s v="September 7, 2026"/>
    <x v="7"/>
    <n v="14"/>
    <n v="0.85"/>
  </r>
  <r>
    <s v="September 7, 2026"/>
    <x v="6"/>
    <n v="6"/>
    <n v="0.36"/>
  </r>
  <r>
    <s v="September 7, 2026"/>
    <x v="10"/>
    <n v="1"/>
    <n v="0.06"/>
  </r>
  <r>
    <s v="September 8, 2026"/>
    <x v="0"/>
    <n v="2511"/>
    <n v="89.14"/>
  </r>
  <r>
    <s v="September 8, 2026"/>
    <x v="1"/>
    <n v="112"/>
    <n v="3.98"/>
  </r>
  <r>
    <s v="September 8, 2026"/>
    <x v="3"/>
    <n v="80"/>
    <n v="2.84"/>
  </r>
  <r>
    <s v="September 8, 2026"/>
    <x v="2"/>
    <n v="44"/>
    <n v="1.56"/>
  </r>
  <r>
    <s v="September 8, 2026"/>
    <x v="4"/>
    <n v="37"/>
    <n v="1.31"/>
  </r>
  <r>
    <s v="September 8, 2026"/>
    <x v="5"/>
    <n v="13"/>
    <n v="0.46"/>
  </r>
  <r>
    <s v="September 8, 2026"/>
    <x v="7"/>
    <n v="12"/>
    <n v="0.43"/>
  </r>
  <r>
    <s v="September 8, 2026"/>
    <x v="6"/>
    <n v="8"/>
    <n v="0.28000000000000003"/>
  </r>
  <r>
    <s v="September 9, 2026"/>
    <x v="0"/>
    <n v="2557"/>
    <n v="76.930000000000007"/>
  </r>
  <r>
    <s v="September 9, 2026"/>
    <x v="1"/>
    <n v="234"/>
    <n v="7.04"/>
  </r>
  <r>
    <s v="September 9, 2026"/>
    <x v="3"/>
    <n v="223"/>
    <n v="6.71"/>
  </r>
  <r>
    <s v="September 9, 2026"/>
    <x v="2"/>
    <n v="154"/>
    <n v="4.63"/>
  </r>
  <r>
    <s v="September 9, 2026"/>
    <x v="4"/>
    <n v="72"/>
    <n v="2.17"/>
  </r>
  <r>
    <s v="September 9, 2026"/>
    <x v="7"/>
    <n v="39"/>
    <n v="1.17"/>
  </r>
  <r>
    <s v="September 9, 2026"/>
    <x v="5"/>
    <n v="24"/>
    <n v="0.72"/>
  </r>
  <r>
    <s v="September 9, 2026"/>
    <x v="6"/>
    <n v="20"/>
    <n v="0.6"/>
  </r>
  <r>
    <s v="September 9, 2026"/>
    <x v="8"/>
    <n v="1"/>
    <n v="0.03"/>
  </r>
  <r>
    <s v="September 10, 2026"/>
    <x v="0"/>
    <n v="3787"/>
    <n v="76.88"/>
  </r>
  <r>
    <s v="September 10, 2026"/>
    <x v="1"/>
    <n v="428"/>
    <n v="8.69"/>
  </r>
  <r>
    <s v="September 10, 2026"/>
    <x v="2"/>
    <n v="232"/>
    <n v="4.71"/>
  </r>
  <r>
    <s v="September 10, 2026"/>
    <x v="3"/>
    <n v="230"/>
    <n v="4.67"/>
  </r>
  <r>
    <s v="September 10, 2026"/>
    <x v="4"/>
    <n v="134"/>
    <n v="2.72"/>
  </r>
  <r>
    <s v="September 10, 2026"/>
    <x v="5"/>
    <n v="47"/>
    <n v="0.95"/>
  </r>
  <r>
    <s v="September 10, 2026"/>
    <x v="7"/>
    <n v="40"/>
    <n v="0.81"/>
  </r>
  <r>
    <s v="September 10, 2026"/>
    <x v="6"/>
    <n v="26"/>
    <n v="0.53"/>
  </r>
  <r>
    <s v="September 10, 2026"/>
    <x v="8"/>
    <n v="2"/>
    <n v="0.04"/>
  </r>
  <r>
    <s v="September 11, 2026"/>
    <x v="0"/>
    <n v="3853"/>
    <n v="74.819999999999993"/>
  </r>
  <r>
    <s v="September 11, 2026"/>
    <x v="1"/>
    <n v="389"/>
    <n v="7.55"/>
  </r>
  <r>
    <s v="September 11, 2026"/>
    <x v="3"/>
    <n v="385"/>
    <n v="7.48"/>
  </r>
  <r>
    <s v="September 11, 2026"/>
    <x v="2"/>
    <n v="259"/>
    <n v="5.03"/>
  </r>
  <r>
    <s v="September 11, 2026"/>
    <x v="4"/>
    <n v="124"/>
    <n v="2.41"/>
  </r>
  <r>
    <s v="September 11, 2026"/>
    <x v="7"/>
    <n v="58"/>
    <n v="1.1299999999999999"/>
  </r>
  <r>
    <s v="September 11, 2026"/>
    <x v="5"/>
    <n v="41"/>
    <n v="0.8"/>
  </r>
  <r>
    <s v="September 11, 2026"/>
    <x v="6"/>
    <n v="41"/>
    <n v="0.8"/>
  </r>
  <r>
    <s v="September 12, 2026"/>
    <x v="0"/>
    <n v="3896"/>
    <n v="72.47"/>
  </r>
  <r>
    <s v="September 12, 2026"/>
    <x v="3"/>
    <n v="536"/>
    <n v="9.9700000000000006"/>
  </r>
  <r>
    <s v="September 12, 2026"/>
    <x v="1"/>
    <n v="427"/>
    <n v="7.94"/>
  </r>
  <r>
    <s v="September 12, 2026"/>
    <x v="2"/>
    <n v="273"/>
    <n v="5.08"/>
  </r>
  <r>
    <s v="September 12, 2026"/>
    <x v="4"/>
    <n v="131"/>
    <n v="2.44"/>
  </r>
  <r>
    <s v="September 12, 2026"/>
    <x v="7"/>
    <n v="47"/>
    <n v="0.87"/>
  </r>
  <r>
    <s v="September 12, 2026"/>
    <x v="5"/>
    <n v="38"/>
    <n v="0.71"/>
  </r>
  <r>
    <s v="September 12, 2026"/>
    <x v="6"/>
    <n v="26"/>
    <n v="0.48"/>
  </r>
  <r>
    <s v="September 12, 2026"/>
    <x v="8"/>
    <n v="2"/>
    <n v="0.04"/>
  </r>
  <r>
    <s v="September 13, 2026"/>
    <x v="0"/>
    <n v="4377"/>
    <n v="73.12"/>
  </r>
  <r>
    <s v="September 13, 2026"/>
    <x v="3"/>
    <n v="571"/>
    <n v="9.5399999999999991"/>
  </r>
  <r>
    <s v="September 13, 2026"/>
    <x v="1"/>
    <n v="455"/>
    <n v="7.6"/>
  </r>
  <r>
    <s v="September 13, 2026"/>
    <x v="2"/>
    <n v="284"/>
    <n v="4.74"/>
  </r>
  <r>
    <s v="September 13, 2026"/>
    <x v="4"/>
    <n v="161"/>
    <n v="2.69"/>
  </r>
  <r>
    <s v="September 13, 2026"/>
    <x v="7"/>
    <n v="56"/>
    <n v="0.94"/>
  </r>
  <r>
    <s v="September 13, 2026"/>
    <x v="6"/>
    <n v="42"/>
    <n v="0.7"/>
  </r>
  <r>
    <s v="September 13, 2026"/>
    <x v="5"/>
    <n v="39"/>
    <n v="0.65"/>
  </r>
  <r>
    <s v="September 13, 2026"/>
    <x v="11"/>
    <n v="1"/>
    <n v="0.02"/>
  </r>
  <r>
    <s v="September 14, 2026"/>
    <x v="0"/>
    <n v="3765"/>
    <n v="76.569999999999993"/>
  </r>
  <r>
    <s v="September 14, 2026"/>
    <x v="1"/>
    <n v="386"/>
    <n v="7.85"/>
  </r>
  <r>
    <s v="September 14, 2026"/>
    <x v="3"/>
    <n v="273"/>
    <n v="5.55"/>
  </r>
  <r>
    <s v="September 14, 2026"/>
    <x v="2"/>
    <n v="239"/>
    <n v="4.8600000000000003"/>
  </r>
  <r>
    <s v="September 14, 2026"/>
    <x v="4"/>
    <n v="123"/>
    <n v="2.5"/>
  </r>
  <r>
    <s v="September 14, 2026"/>
    <x v="7"/>
    <n v="54"/>
    <n v="1.1000000000000001"/>
  </r>
  <r>
    <s v="September 14, 2026"/>
    <x v="5"/>
    <n v="44"/>
    <n v="0.89"/>
  </r>
  <r>
    <s v="September 14, 2026"/>
    <x v="6"/>
    <n v="33"/>
    <n v="0.67"/>
  </r>
  <r>
    <s v="September 15, 2026"/>
    <x v="0"/>
    <n v="3217"/>
    <n v="76.8"/>
  </r>
  <r>
    <s v="September 15, 2026"/>
    <x v="1"/>
    <n v="309"/>
    <n v="7.38"/>
  </r>
  <r>
    <s v="September 15, 2026"/>
    <x v="3"/>
    <n v="240"/>
    <n v="5.73"/>
  </r>
  <r>
    <s v="September 15, 2026"/>
    <x v="2"/>
    <n v="208"/>
    <n v="4.97"/>
  </r>
  <r>
    <s v="September 15, 2026"/>
    <x v="4"/>
    <n v="104"/>
    <n v="2.48"/>
  </r>
  <r>
    <s v="September 15, 2026"/>
    <x v="7"/>
    <n v="48"/>
    <n v="1.1499999999999999"/>
  </r>
  <r>
    <s v="September 15, 2026"/>
    <x v="5"/>
    <n v="33"/>
    <n v="0.79"/>
  </r>
  <r>
    <s v="September 15, 2026"/>
    <x v="6"/>
    <n v="29"/>
    <n v="0.69"/>
  </r>
  <r>
    <s v="September 15, 2026"/>
    <x v="9"/>
    <n v="1"/>
    <n v="0.02"/>
  </r>
  <r>
    <s v="September 16, 2026"/>
    <x v="0"/>
    <n v="3146"/>
    <n v="78.91"/>
  </r>
  <r>
    <s v="September 16, 2026"/>
    <x v="1"/>
    <n v="276"/>
    <n v="6.92"/>
  </r>
  <r>
    <s v="September 16, 2026"/>
    <x v="3"/>
    <n v="214"/>
    <n v="5.37"/>
  </r>
  <r>
    <s v="September 16, 2026"/>
    <x v="2"/>
    <n v="179"/>
    <n v="4.49"/>
  </r>
  <r>
    <s v="September 16, 2026"/>
    <x v="4"/>
    <n v="87"/>
    <n v="2.1800000000000002"/>
  </r>
  <r>
    <s v="September 16, 2026"/>
    <x v="7"/>
    <n v="36"/>
    <n v="0.9"/>
  </r>
  <r>
    <s v="September 16, 2026"/>
    <x v="5"/>
    <n v="30"/>
    <n v="0.75"/>
  </r>
  <r>
    <s v="September 16, 2026"/>
    <x v="6"/>
    <n v="18"/>
    <n v="0.45"/>
  </r>
  <r>
    <s v="September 16, 2026"/>
    <x v="10"/>
    <n v="1"/>
    <n v="0.03"/>
  </r>
  <r>
    <s v="September 17, 2026"/>
    <x v="0"/>
    <n v="5177"/>
    <n v="75.290000000000006"/>
  </r>
  <r>
    <s v="September 17, 2026"/>
    <x v="1"/>
    <n v="542"/>
    <n v="7.88"/>
  </r>
  <r>
    <s v="September 17, 2026"/>
    <x v="3"/>
    <n v="431"/>
    <n v="6.27"/>
  </r>
  <r>
    <s v="September 17, 2026"/>
    <x v="2"/>
    <n v="370"/>
    <n v="5.38"/>
  </r>
  <r>
    <s v="September 17, 2026"/>
    <x v="4"/>
    <n v="167"/>
    <n v="2.4300000000000002"/>
  </r>
  <r>
    <s v="September 17, 2026"/>
    <x v="7"/>
    <n v="74"/>
    <n v="1.08"/>
  </r>
  <r>
    <s v="September 17, 2026"/>
    <x v="6"/>
    <n v="58"/>
    <n v="0.84"/>
  </r>
  <r>
    <s v="September 17, 2026"/>
    <x v="5"/>
    <n v="56"/>
    <n v="0.81"/>
  </r>
  <r>
    <s v="September 17, 2026"/>
    <x v="8"/>
    <n v="1"/>
    <n v="0.01"/>
  </r>
  <r>
    <s v="September 18, 2026"/>
    <x v="0"/>
    <n v="5748"/>
    <n v="74.2"/>
  </r>
  <r>
    <s v="September 18, 2026"/>
    <x v="3"/>
    <n v="677"/>
    <n v="8.74"/>
  </r>
  <r>
    <s v="September 18, 2026"/>
    <x v="1"/>
    <n v="567"/>
    <n v="7.32"/>
  </r>
  <r>
    <s v="September 18, 2026"/>
    <x v="2"/>
    <n v="402"/>
    <n v="5.19"/>
  </r>
  <r>
    <s v="September 18, 2026"/>
    <x v="4"/>
    <n v="188"/>
    <n v="2.4300000000000002"/>
  </r>
  <r>
    <s v="September 18, 2026"/>
    <x v="7"/>
    <n v="69"/>
    <n v="0.89"/>
  </r>
  <r>
    <s v="September 18, 2026"/>
    <x v="5"/>
    <n v="49"/>
    <n v="0.63"/>
  </r>
  <r>
    <s v="September 18, 2026"/>
    <x v="6"/>
    <n v="45"/>
    <n v="0.57999999999999996"/>
  </r>
  <r>
    <s v="September 18, 2026"/>
    <x v="8"/>
    <n v="1"/>
    <n v="0.01"/>
  </r>
  <r>
    <s v="September 18, 2026"/>
    <x v="9"/>
    <n v="1"/>
    <n v="0.01"/>
  </r>
  <r>
    <s v="September 19, 2026"/>
    <x v="0"/>
    <n v="7248"/>
    <n v="70.150000000000006"/>
  </r>
  <r>
    <s v="September 19, 2026"/>
    <x v="3"/>
    <n v="1407"/>
    <n v="13.62"/>
  </r>
  <r>
    <s v="September 19, 2026"/>
    <x v="1"/>
    <n v="690"/>
    <n v="6.68"/>
  </r>
  <r>
    <s v="September 19, 2026"/>
    <x v="2"/>
    <n v="528"/>
    <n v="5.1100000000000003"/>
  </r>
  <r>
    <s v="September 19, 2026"/>
    <x v="4"/>
    <n v="245"/>
    <n v="2.37"/>
  </r>
  <r>
    <s v="September 19, 2026"/>
    <x v="7"/>
    <n v="96"/>
    <n v="0.93"/>
  </r>
  <r>
    <s v="September 19, 2026"/>
    <x v="5"/>
    <n v="63"/>
    <n v="0.61"/>
  </r>
  <r>
    <s v="September 19, 2026"/>
    <x v="6"/>
    <n v="54"/>
    <n v="0.52"/>
  </r>
  <r>
    <s v="September 19, 2026"/>
    <x v="9"/>
    <n v="1"/>
    <n v="0.01"/>
  </r>
  <r>
    <s v="September 20, 2026"/>
    <x v="0"/>
    <n v="6973"/>
    <n v="70.72"/>
  </r>
  <r>
    <s v="September 20, 2026"/>
    <x v="3"/>
    <n v="1338"/>
    <n v="13.57"/>
  </r>
  <r>
    <s v="September 20, 2026"/>
    <x v="1"/>
    <n v="659"/>
    <n v="6.68"/>
  </r>
  <r>
    <s v="September 20, 2026"/>
    <x v="2"/>
    <n v="452"/>
    <n v="4.58"/>
  </r>
  <r>
    <s v="September 20, 2026"/>
    <x v="4"/>
    <n v="224"/>
    <n v="2.27"/>
  </r>
  <r>
    <s v="September 20, 2026"/>
    <x v="7"/>
    <n v="101"/>
    <n v="1.02"/>
  </r>
  <r>
    <s v="September 20, 2026"/>
    <x v="6"/>
    <n v="66"/>
    <n v="0.67"/>
  </r>
  <r>
    <s v="September 20, 2026"/>
    <x v="5"/>
    <n v="44"/>
    <n v="0.45"/>
  </r>
  <r>
    <s v="September 20, 2026"/>
    <x v="8"/>
    <n v="2"/>
    <n v="0.02"/>
  </r>
  <r>
    <s v="September 20, 2026"/>
    <x v="10"/>
    <n v="1"/>
    <n v="0.01"/>
  </r>
  <r>
    <s v="September 21, 2026"/>
    <x v="0"/>
    <n v="5770"/>
    <n v="74.38"/>
  </r>
  <r>
    <s v="September 21, 2026"/>
    <x v="3"/>
    <n v="723"/>
    <n v="9.32"/>
  </r>
  <r>
    <s v="September 21, 2026"/>
    <x v="1"/>
    <n v="543"/>
    <n v="7"/>
  </r>
  <r>
    <s v="September 21, 2026"/>
    <x v="2"/>
    <n v="398"/>
    <n v="5.13"/>
  </r>
  <r>
    <s v="September 21, 2026"/>
    <x v="4"/>
    <n v="175"/>
    <n v="2.2599999999999998"/>
  </r>
  <r>
    <s v="September 21, 2026"/>
    <x v="7"/>
    <n v="58"/>
    <n v="0.75"/>
  </r>
  <r>
    <s v="September 21, 2026"/>
    <x v="6"/>
    <n v="47"/>
    <n v="0.61"/>
  </r>
  <r>
    <s v="September 21, 2026"/>
    <x v="5"/>
    <n v="42"/>
    <n v="0.54"/>
  </r>
  <r>
    <s v="September 21, 2026"/>
    <x v="12"/>
    <n v="1"/>
    <n v="0.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B96F43-C3F9-1040-B3E3-0A3FA44EC702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2:M16" firstHeaderRow="1" firstDataRow="1" firstDataCol="1"/>
  <pivotFields count="4">
    <pivotField showAll="0"/>
    <pivotField axis="axisRow" showAll="0">
      <items count="14">
        <item x="5"/>
        <item x="8"/>
        <item x="6"/>
        <item x="1"/>
        <item x="11"/>
        <item x="2"/>
        <item x="9"/>
        <item x="10"/>
        <item x="7"/>
        <item x="4"/>
        <item x="0"/>
        <item x="12"/>
        <item x="3"/>
        <item t="default"/>
      </items>
    </pivotField>
    <pivotField dataField="1" numFmtId="3" showAll="0"/>
    <pivotField showAll="0"/>
  </pivotFields>
  <rowFields count="1">
    <field x="1"/>
  </rowFields>
  <rowItems count="14">
    <i>
      <x v="10"/>
    </i>
    <i>
      <x v="12"/>
    </i>
    <i>
      <x v="3"/>
    </i>
    <i>
      <x v="5"/>
    </i>
    <i>
      <x v="9"/>
    </i>
    <i>
      <x v="8"/>
    </i>
    <i>
      <x/>
    </i>
    <i>
      <x v="2"/>
    </i>
    <i>
      <x v="1"/>
    </i>
    <i>
      <x v="6"/>
    </i>
    <i>
      <x v="7"/>
    </i>
    <i>
      <x v="4"/>
    </i>
    <i>
      <x v="11"/>
    </i>
    <i t="grand">
      <x/>
    </i>
  </rowItems>
  <colItems count="1">
    <i/>
  </colItems>
  <dataFields count="1">
    <dataField name="Sum of cnt" fld="2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B7D4E1-1788-3B43-AFF3-8C6D9E04A633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3:Q13" firstHeaderRow="1" firstDataRow="1" firstDataCol="1"/>
  <pivotFields count="4">
    <pivotField numFmtId="164" showAll="0"/>
    <pivotField axis="axisRow" showAll="0">
      <items count="10">
        <item x="0"/>
        <item x="1"/>
        <item x="8"/>
        <item x="2"/>
        <item x="6"/>
        <item x="7"/>
        <item x="3"/>
        <item x="4"/>
        <item x="5"/>
        <item t="default"/>
      </items>
    </pivotField>
    <pivotField dataField="1" numFmtId="3" showAll="0"/>
    <pivotField numFmtId="165"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cnt" fld="2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5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ColWidth="8.83203125" defaultRowHeight="15" x14ac:dyDescent="0.2"/>
  <cols>
    <col min="1" max="1" width="20" customWidth="1"/>
    <col min="2" max="2" width="13.1640625" customWidth="1"/>
    <col min="3" max="3" width="23.1640625" customWidth="1"/>
    <col min="4" max="4" width="9.33203125" customWidth="1"/>
    <col min="5" max="5" width="20.33203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>
        <v>46266</v>
      </c>
      <c r="B2" t="s">
        <v>5</v>
      </c>
      <c r="C2" t="s">
        <v>6</v>
      </c>
      <c r="D2" s="2">
        <v>1999</v>
      </c>
    </row>
    <row r="3" spans="1:5" x14ac:dyDescent="0.2">
      <c r="A3" s="1">
        <v>46266</v>
      </c>
      <c r="B3" t="s">
        <v>5</v>
      </c>
      <c r="C3" t="s">
        <v>7</v>
      </c>
      <c r="D3" s="2">
        <v>1706</v>
      </c>
      <c r="E3" s="3">
        <v>85.34</v>
      </c>
    </row>
    <row r="4" spans="1:5" x14ac:dyDescent="0.2">
      <c r="A4" s="1">
        <v>46266</v>
      </c>
      <c r="B4" t="s">
        <v>5</v>
      </c>
      <c r="C4" t="s">
        <v>8</v>
      </c>
      <c r="D4" s="2">
        <v>1699</v>
      </c>
      <c r="E4" s="3">
        <v>99.59</v>
      </c>
    </row>
    <row r="5" spans="1:5" x14ac:dyDescent="0.2">
      <c r="A5" s="1">
        <v>46266</v>
      </c>
      <c r="B5" t="s">
        <v>5</v>
      </c>
      <c r="C5" t="s">
        <v>9</v>
      </c>
      <c r="D5" s="2">
        <v>1599</v>
      </c>
      <c r="E5" s="3">
        <v>94.11</v>
      </c>
    </row>
    <row r="6" spans="1:5" x14ac:dyDescent="0.2">
      <c r="A6" s="1">
        <v>46266</v>
      </c>
      <c r="B6" t="s">
        <v>5</v>
      </c>
      <c r="C6" t="s">
        <v>10</v>
      </c>
      <c r="D6" s="2">
        <v>496</v>
      </c>
      <c r="E6" s="3">
        <v>31.02</v>
      </c>
    </row>
    <row r="7" spans="1:5" x14ac:dyDescent="0.2">
      <c r="A7" s="1">
        <v>46266</v>
      </c>
      <c r="B7" t="s">
        <v>5</v>
      </c>
      <c r="C7" t="s">
        <v>11</v>
      </c>
      <c r="D7" s="2">
        <v>496</v>
      </c>
      <c r="E7" s="2">
        <v>100</v>
      </c>
    </row>
    <row r="8" spans="1:5" x14ac:dyDescent="0.2">
      <c r="A8" s="1">
        <v>46266</v>
      </c>
      <c r="B8" t="s">
        <v>5</v>
      </c>
      <c r="C8" t="s">
        <v>12</v>
      </c>
      <c r="D8" s="2">
        <v>341</v>
      </c>
      <c r="E8" s="3">
        <v>68.75</v>
      </c>
    </row>
    <row r="9" spans="1:5" x14ac:dyDescent="0.2">
      <c r="A9" s="1">
        <v>46266</v>
      </c>
      <c r="B9" t="s">
        <v>5</v>
      </c>
      <c r="C9" t="s">
        <v>13</v>
      </c>
      <c r="D9" s="2">
        <v>1037</v>
      </c>
    </row>
    <row r="10" spans="1:5" x14ac:dyDescent="0.2">
      <c r="A10" s="1">
        <v>46266</v>
      </c>
      <c r="B10" t="s">
        <v>5</v>
      </c>
      <c r="C10" t="s">
        <v>14</v>
      </c>
      <c r="D10" s="2">
        <v>276</v>
      </c>
      <c r="E10" s="3">
        <v>26.62</v>
      </c>
    </row>
    <row r="11" spans="1:5" x14ac:dyDescent="0.2">
      <c r="A11" s="1">
        <v>46266</v>
      </c>
      <c r="B11" t="s">
        <v>5</v>
      </c>
      <c r="C11" t="s">
        <v>15</v>
      </c>
      <c r="D11" s="2">
        <v>617</v>
      </c>
      <c r="E11" s="3">
        <v>36.32</v>
      </c>
    </row>
    <row r="12" spans="1:5" x14ac:dyDescent="0.2">
      <c r="A12" s="1">
        <v>46266</v>
      </c>
      <c r="B12" t="s">
        <v>5</v>
      </c>
      <c r="C12" t="s">
        <v>16</v>
      </c>
      <c r="D12" s="2">
        <v>575</v>
      </c>
      <c r="E12" s="3">
        <v>73.25</v>
      </c>
    </row>
    <row r="13" spans="1:5" x14ac:dyDescent="0.2">
      <c r="A13" s="1">
        <v>46266</v>
      </c>
      <c r="B13" t="s">
        <v>5</v>
      </c>
      <c r="C13" t="s">
        <v>17</v>
      </c>
      <c r="D13" s="2">
        <v>566</v>
      </c>
      <c r="E13" s="3">
        <v>98.43</v>
      </c>
    </row>
    <row r="14" spans="1:5" x14ac:dyDescent="0.2">
      <c r="A14" s="1">
        <v>46267</v>
      </c>
      <c r="B14" t="s">
        <v>5</v>
      </c>
      <c r="C14" t="s">
        <v>6</v>
      </c>
      <c r="D14" s="2">
        <v>2235</v>
      </c>
    </row>
    <row r="15" spans="1:5" x14ac:dyDescent="0.2">
      <c r="A15" s="1">
        <v>46267</v>
      </c>
      <c r="B15" t="s">
        <v>5</v>
      </c>
      <c r="C15" t="s">
        <v>7</v>
      </c>
      <c r="D15" s="2">
        <v>2101</v>
      </c>
      <c r="E15" s="2">
        <v>94</v>
      </c>
    </row>
    <row r="16" spans="1:5" x14ac:dyDescent="0.2">
      <c r="A16" s="1">
        <v>46267</v>
      </c>
      <c r="B16" t="s">
        <v>5</v>
      </c>
      <c r="C16" t="s">
        <v>8</v>
      </c>
      <c r="D16" s="2">
        <v>2099</v>
      </c>
      <c r="E16" s="3">
        <v>99.9</v>
      </c>
    </row>
    <row r="17" spans="1:5" x14ac:dyDescent="0.2">
      <c r="A17" s="1">
        <v>46267</v>
      </c>
      <c r="B17" t="s">
        <v>5</v>
      </c>
      <c r="C17" t="s">
        <v>9</v>
      </c>
      <c r="D17" s="2">
        <v>2020</v>
      </c>
      <c r="E17" s="3">
        <v>96.24</v>
      </c>
    </row>
    <row r="18" spans="1:5" x14ac:dyDescent="0.2">
      <c r="A18" s="1">
        <v>46267</v>
      </c>
      <c r="B18" t="s">
        <v>5</v>
      </c>
      <c r="C18" t="s">
        <v>10</v>
      </c>
      <c r="D18" s="2">
        <v>680</v>
      </c>
      <c r="E18" s="3">
        <v>33.659999999999997</v>
      </c>
    </row>
    <row r="19" spans="1:5" x14ac:dyDescent="0.2">
      <c r="A19" s="1">
        <v>46267</v>
      </c>
      <c r="B19" t="s">
        <v>5</v>
      </c>
      <c r="C19" t="s">
        <v>11</v>
      </c>
      <c r="D19" s="2">
        <v>679</v>
      </c>
      <c r="E19" s="3">
        <v>99.85</v>
      </c>
    </row>
    <row r="20" spans="1:5" x14ac:dyDescent="0.2">
      <c r="A20" s="1">
        <v>46267</v>
      </c>
      <c r="B20" t="s">
        <v>5</v>
      </c>
      <c r="C20" t="s">
        <v>12</v>
      </c>
      <c r="D20" s="2">
        <v>456</v>
      </c>
      <c r="E20" s="3">
        <v>67.16</v>
      </c>
    </row>
    <row r="21" spans="1:5" x14ac:dyDescent="0.2">
      <c r="A21" s="1">
        <v>46267</v>
      </c>
      <c r="B21" t="s">
        <v>5</v>
      </c>
      <c r="C21" t="s">
        <v>13</v>
      </c>
      <c r="D21" s="2">
        <v>1290</v>
      </c>
    </row>
    <row r="22" spans="1:5" x14ac:dyDescent="0.2">
      <c r="A22" s="1">
        <v>46267</v>
      </c>
      <c r="B22" t="s">
        <v>5</v>
      </c>
      <c r="C22" t="s">
        <v>14</v>
      </c>
      <c r="D22" s="2">
        <v>293</v>
      </c>
      <c r="E22" s="3">
        <v>22.71</v>
      </c>
    </row>
    <row r="23" spans="1:5" x14ac:dyDescent="0.2">
      <c r="A23" s="1">
        <v>46267</v>
      </c>
      <c r="B23" t="s">
        <v>5</v>
      </c>
      <c r="C23" t="s">
        <v>15</v>
      </c>
      <c r="D23" s="2">
        <v>749</v>
      </c>
      <c r="E23" s="3">
        <v>35.68</v>
      </c>
    </row>
    <row r="24" spans="1:5" x14ac:dyDescent="0.2">
      <c r="A24" s="1">
        <v>46267</v>
      </c>
      <c r="B24" t="s">
        <v>5</v>
      </c>
      <c r="C24" t="s">
        <v>16</v>
      </c>
      <c r="D24" s="2">
        <v>679</v>
      </c>
      <c r="E24" s="3">
        <v>71.62</v>
      </c>
    </row>
    <row r="25" spans="1:5" x14ac:dyDescent="0.2">
      <c r="A25" s="1">
        <v>46267</v>
      </c>
      <c r="B25" t="s">
        <v>5</v>
      </c>
      <c r="C25" t="s">
        <v>17</v>
      </c>
      <c r="D25" s="2">
        <v>670</v>
      </c>
      <c r="E25" s="3">
        <v>98.67</v>
      </c>
    </row>
    <row r="26" spans="1:5" x14ac:dyDescent="0.2">
      <c r="A26" s="1">
        <v>46268</v>
      </c>
      <c r="B26" t="s">
        <v>5</v>
      </c>
      <c r="C26" t="s">
        <v>6</v>
      </c>
      <c r="D26" s="2">
        <v>2079</v>
      </c>
    </row>
    <row r="27" spans="1:5" x14ac:dyDescent="0.2">
      <c r="A27" s="1">
        <v>46268</v>
      </c>
      <c r="B27" t="s">
        <v>5</v>
      </c>
      <c r="C27" t="s">
        <v>7</v>
      </c>
      <c r="D27" s="2">
        <v>1935</v>
      </c>
      <c r="E27" s="3">
        <v>93.07</v>
      </c>
    </row>
    <row r="28" spans="1:5" x14ac:dyDescent="0.2">
      <c r="A28" s="1">
        <v>46268</v>
      </c>
      <c r="B28" t="s">
        <v>5</v>
      </c>
      <c r="C28" t="s">
        <v>8</v>
      </c>
      <c r="D28" s="2">
        <v>1932</v>
      </c>
      <c r="E28" s="3">
        <v>99.84</v>
      </c>
    </row>
    <row r="29" spans="1:5" x14ac:dyDescent="0.2">
      <c r="A29" s="1">
        <v>46268</v>
      </c>
      <c r="B29" t="s">
        <v>5</v>
      </c>
      <c r="C29" t="s">
        <v>9</v>
      </c>
      <c r="D29" s="2">
        <v>1848</v>
      </c>
      <c r="E29" s="3">
        <v>95.65</v>
      </c>
    </row>
    <row r="30" spans="1:5" x14ac:dyDescent="0.2">
      <c r="A30" s="1">
        <v>46268</v>
      </c>
      <c r="B30" t="s">
        <v>5</v>
      </c>
      <c r="C30" t="s">
        <v>10</v>
      </c>
      <c r="D30" s="2">
        <v>553</v>
      </c>
      <c r="E30" s="3">
        <v>29.92</v>
      </c>
    </row>
    <row r="31" spans="1:5" x14ac:dyDescent="0.2">
      <c r="A31" s="1">
        <v>46268</v>
      </c>
      <c r="B31" t="s">
        <v>5</v>
      </c>
      <c r="C31" t="s">
        <v>11</v>
      </c>
      <c r="D31" s="2">
        <v>552</v>
      </c>
      <c r="E31" s="3">
        <v>99.82</v>
      </c>
    </row>
    <row r="32" spans="1:5" x14ac:dyDescent="0.2">
      <c r="A32" s="1">
        <v>46268</v>
      </c>
      <c r="B32" t="s">
        <v>5</v>
      </c>
      <c r="C32" t="s">
        <v>12</v>
      </c>
      <c r="D32" s="2">
        <v>367</v>
      </c>
      <c r="E32" s="3">
        <v>66.489999999999995</v>
      </c>
    </row>
    <row r="33" spans="1:5" x14ac:dyDescent="0.2">
      <c r="A33" s="1">
        <v>46268</v>
      </c>
      <c r="B33" t="s">
        <v>5</v>
      </c>
      <c r="C33" t="s">
        <v>13</v>
      </c>
      <c r="D33" s="2">
        <v>1209</v>
      </c>
    </row>
    <row r="34" spans="1:5" x14ac:dyDescent="0.2">
      <c r="A34" s="1">
        <v>46268</v>
      </c>
      <c r="B34" t="s">
        <v>5</v>
      </c>
      <c r="C34" t="s">
        <v>14</v>
      </c>
      <c r="D34" s="2">
        <v>305</v>
      </c>
      <c r="E34" s="3">
        <v>25.23</v>
      </c>
    </row>
    <row r="35" spans="1:5" x14ac:dyDescent="0.2">
      <c r="A35" s="1">
        <v>46268</v>
      </c>
      <c r="B35" t="s">
        <v>5</v>
      </c>
      <c r="C35" t="s">
        <v>15</v>
      </c>
      <c r="D35" s="2">
        <v>672</v>
      </c>
      <c r="E35" s="3">
        <v>34.78</v>
      </c>
    </row>
    <row r="36" spans="1:5" x14ac:dyDescent="0.2">
      <c r="A36" s="1">
        <v>46268</v>
      </c>
      <c r="B36" t="s">
        <v>5</v>
      </c>
      <c r="C36" t="s">
        <v>16</v>
      </c>
      <c r="D36" s="2">
        <v>621</v>
      </c>
      <c r="E36" s="3">
        <v>73.23</v>
      </c>
    </row>
    <row r="37" spans="1:5" x14ac:dyDescent="0.2">
      <c r="A37" s="1">
        <v>46268</v>
      </c>
      <c r="B37" t="s">
        <v>5</v>
      </c>
      <c r="C37" t="s">
        <v>17</v>
      </c>
      <c r="D37" s="2">
        <v>618</v>
      </c>
      <c r="E37" s="3">
        <v>99.52</v>
      </c>
    </row>
    <row r="38" spans="1:5" x14ac:dyDescent="0.2">
      <c r="A38" s="1">
        <v>46269</v>
      </c>
      <c r="B38" t="s">
        <v>5</v>
      </c>
      <c r="C38" t="s">
        <v>6</v>
      </c>
      <c r="D38" s="2">
        <v>6903</v>
      </c>
    </row>
    <row r="39" spans="1:5" x14ac:dyDescent="0.2">
      <c r="A39" s="1">
        <v>46269</v>
      </c>
      <c r="B39" t="s">
        <v>5</v>
      </c>
      <c r="C39" t="s">
        <v>7</v>
      </c>
      <c r="D39" s="2">
        <v>6694</v>
      </c>
      <c r="E39" s="3">
        <v>96.97</v>
      </c>
    </row>
    <row r="40" spans="1:5" x14ac:dyDescent="0.2">
      <c r="A40" s="1">
        <v>46269</v>
      </c>
      <c r="B40" t="s">
        <v>5</v>
      </c>
      <c r="C40" t="s">
        <v>8</v>
      </c>
      <c r="D40" s="2">
        <v>6687</v>
      </c>
      <c r="E40" s="3">
        <v>99.9</v>
      </c>
    </row>
    <row r="41" spans="1:5" x14ac:dyDescent="0.2">
      <c r="A41" s="1">
        <v>46269</v>
      </c>
      <c r="B41" t="s">
        <v>5</v>
      </c>
      <c r="C41" t="s">
        <v>9</v>
      </c>
      <c r="D41" s="2">
        <v>6260</v>
      </c>
      <c r="E41" s="3">
        <v>93.61</v>
      </c>
    </row>
    <row r="42" spans="1:5" x14ac:dyDescent="0.2">
      <c r="A42" s="1">
        <v>46269</v>
      </c>
      <c r="B42" t="s">
        <v>5</v>
      </c>
      <c r="C42" t="s">
        <v>10</v>
      </c>
      <c r="D42" s="2">
        <v>1044</v>
      </c>
      <c r="E42" s="3">
        <v>16.68</v>
      </c>
    </row>
    <row r="43" spans="1:5" x14ac:dyDescent="0.2">
      <c r="A43" s="1">
        <v>46269</v>
      </c>
      <c r="B43" t="s">
        <v>5</v>
      </c>
      <c r="C43" t="s">
        <v>11</v>
      </c>
      <c r="D43" s="2">
        <v>1042</v>
      </c>
      <c r="E43" s="3">
        <v>99.81</v>
      </c>
    </row>
    <row r="44" spans="1:5" x14ac:dyDescent="0.2">
      <c r="A44" s="1">
        <v>46269</v>
      </c>
      <c r="B44" t="s">
        <v>5</v>
      </c>
      <c r="C44" t="s">
        <v>12</v>
      </c>
      <c r="D44" s="2">
        <v>696</v>
      </c>
      <c r="E44" s="3">
        <v>66.790000000000006</v>
      </c>
    </row>
    <row r="45" spans="1:5" x14ac:dyDescent="0.2">
      <c r="A45" s="1">
        <v>46269</v>
      </c>
      <c r="B45" t="s">
        <v>5</v>
      </c>
      <c r="C45" t="s">
        <v>13</v>
      </c>
      <c r="D45" s="2">
        <v>4988</v>
      </c>
    </row>
    <row r="46" spans="1:5" x14ac:dyDescent="0.2">
      <c r="A46" s="1">
        <v>46269</v>
      </c>
      <c r="B46" t="s">
        <v>5</v>
      </c>
      <c r="C46" t="s">
        <v>14</v>
      </c>
      <c r="D46" s="2">
        <v>1370</v>
      </c>
      <c r="E46" s="3">
        <v>27.47</v>
      </c>
    </row>
    <row r="47" spans="1:5" x14ac:dyDescent="0.2">
      <c r="A47" s="1">
        <v>46269</v>
      </c>
      <c r="B47" t="s">
        <v>5</v>
      </c>
      <c r="C47" t="s">
        <v>15</v>
      </c>
      <c r="D47" s="2">
        <v>2066</v>
      </c>
      <c r="E47" s="3">
        <v>30.9</v>
      </c>
    </row>
    <row r="48" spans="1:5" x14ac:dyDescent="0.2">
      <c r="A48" s="1">
        <v>46269</v>
      </c>
      <c r="B48" t="s">
        <v>5</v>
      </c>
      <c r="C48" t="s">
        <v>16</v>
      </c>
      <c r="D48" s="2">
        <v>1926</v>
      </c>
      <c r="E48" s="3">
        <v>72.760000000000005</v>
      </c>
    </row>
    <row r="49" spans="1:5" x14ac:dyDescent="0.2">
      <c r="A49" s="1">
        <v>46269</v>
      </c>
      <c r="B49" t="s">
        <v>5</v>
      </c>
      <c r="C49" t="s">
        <v>17</v>
      </c>
      <c r="D49" s="2">
        <v>1914</v>
      </c>
      <c r="E49" s="3">
        <v>99.38</v>
      </c>
    </row>
    <row r="50" spans="1:5" x14ac:dyDescent="0.2">
      <c r="A50" s="1">
        <v>46270</v>
      </c>
      <c r="B50" t="s">
        <v>5</v>
      </c>
      <c r="C50" t="s">
        <v>6</v>
      </c>
      <c r="D50" s="2">
        <v>8153</v>
      </c>
    </row>
    <row r="51" spans="1:5" x14ac:dyDescent="0.2">
      <c r="A51" s="1">
        <v>46270</v>
      </c>
      <c r="B51" t="s">
        <v>5</v>
      </c>
      <c r="C51" t="s">
        <v>7</v>
      </c>
      <c r="D51" s="2">
        <v>7885</v>
      </c>
      <c r="E51" s="3">
        <v>96.71</v>
      </c>
    </row>
    <row r="52" spans="1:5" x14ac:dyDescent="0.2">
      <c r="A52" s="1">
        <v>46270</v>
      </c>
      <c r="B52" t="s">
        <v>5</v>
      </c>
      <c r="C52" t="s">
        <v>8</v>
      </c>
      <c r="D52" s="2">
        <v>7878</v>
      </c>
      <c r="E52" s="3">
        <v>99.91</v>
      </c>
    </row>
    <row r="53" spans="1:5" x14ac:dyDescent="0.2">
      <c r="A53" s="1">
        <v>46270</v>
      </c>
      <c r="B53" t="s">
        <v>5</v>
      </c>
      <c r="C53" t="s">
        <v>9</v>
      </c>
      <c r="D53" s="2">
        <v>7593</v>
      </c>
      <c r="E53" s="3">
        <v>96.38</v>
      </c>
    </row>
    <row r="54" spans="1:5" x14ac:dyDescent="0.2">
      <c r="A54" s="1">
        <v>46270</v>
      </c>
      <c r="B54" t="s">
        <v>5</v>
      </c>
      <c r="C54" t="s">
        <v>10</v>
      </c>
      <c r="D54" s="2">
        <v>2400</v>
      </c>
      <c r="E54" s="3">
        <v>31.61</v>
      </c>
    </row>
    <row r="55" spans="1:5" x14ac:dyDescent="0.2">
      <c r="A55" s="1">
        <v>46270</v>
      </c>
      <c r="B55" t="s">
        <v>5</v>
      </c>
      <c r="C55" t="s">
        <v>11</v>
      </c>
      <c r="D55" s="2">
        <v>2393</v>
      </c>
      <c r="E55" s="3">
        <v>99.71</v>
      </c>
    </row>
    <row r="56" spans="1:5" x14ac:dyDescent="0.2">
      <c r="A56" s="1">
        <v>46270</v>
      </c>
      <c r="B56" t="s">
        <v>5</v>
      </c>
      <c r="C56" t="s">
        <v>12</v>
      </c>
      <c r="D56" s="2">
        <v>1709</v>
      </c>
      <c r="E56" s="3">
        <v>71.42</v>
      </c>
    </row>
    <row r="57" spans="1:5" x14ac:dyDescent="0.2">
      <c r="A57" s="1">
        <v>46270</v>
      </c>
      <c r="B57" t="s">
        <v>5</v>
      </c>
      <c r="C57" t="s">
        <v>13</v>
      </c>
      <c r="D57" s="2">
        <v>4846</v>
      </c>
    </row>
    <row r="58" spans="1:5" x14ac:dyDescent="0.2">
      <c r="A58" s="1">
        <v>46270</v>
      </c>
      <c r="B58" t="s">
        <v>5</v>
      </c>
      <c r="C58" t="s">
        <v>14</v>
      </c>
      <c r="D58" s="2">
        <v>1345</v>
      </c>
      <c r="E58" s="3">
        <v>27.75</v>
      </c>
    </row>
    <row r="59" spans="1:5" x14ac:dyDescent="0.2">
      <c r="A59" s="1">
        <v>46270</v>
      </c>
      <c r="B59" t="s">
        <v>5</v>
      </c>
      <c r="C59" t="s">
        <v>15</v>
      </c>
      <c r="D59" s="2">
        <v>3054</v>
      </c>
      <c r="E59" s="3">
        <v>38.770000000000003</v>
      </c>
    </row>
    <row r="60" spans="1:5" x14ac:dyDescent="0.2">
      <c r="A60" s="1">
        <v>46270</v>
      </c>
      <c r="B60" t="s">
        <v>5</v>
      </c>
      <c r="C60" t="s">
        <v>16</v>
      </c>
      <c r="D60" s="2">
        <v>2813</v>
      </c>
      <c r="E60" s="3">
        <v>75.819999999999993</v>
      </c>
    </row>
    <row r="61" spans="1:5" x14ac:dyDescent="0.2">
      <c r="A61" s="1">
        <v>46270</v>
      </c>
      <c r="B61" t="s">
        <v>5</v>
      </c>
      <c r="C61" t="s">
        <v>17</v>
      </c>
      <c r="D61" s="2">
        <v>2793</v>
      </c>
      <c r="E61" s="3">
        <v>99.29</v>
      </c>
    </row>
    <row r="62" spans="1:5" x14ac:dyDescent="0.2">
      <c r="A62" s="1">
        <v>46271</v>
      </c>
      <c r="B62" t="s">
        <v>5</v>
      </c>
      <c r="C62" t="s">
        <v>6</v>
      </c>
      <c r="D62" s="2">
        <v>4143</v>
      </c>
    </row>
    <row r="63" spans="1:5" x14ac:dyDescent="0.2">
      <c r="A63" s="1">
        <v>46271</v>
      </c>
      <c r="B63" t="s">
        <v>5</v>
      </c>
      <c r="C63" t="s">
        <v>7</v>
      </c>
      <c r="D63" s="2">
        <v>3957</v>
      </c>
      <c r="E63" s="3">
        <v>95.51</v>
      </c>
    </row>
    <row r="64" spans="1:5" x14ac:dyDescent="0.2">
      <c r="A64" s="1">
        <v>46271</v>
      </c>
      <c r="B64" t="s">
        <v>5</v>
      </c>
      <c r="C64" t="s">
        <v>8</v>
      </c>
      <c r="D64" s="2">
        <v>3946</v>
      </c>
      <c r="E64" s="3">
        <v>99.72</v>
      </c>
    </row>
    <row r="65" spans="1:5" x14ac:dyDescent="0.2">
      <c r="A65" s="1">
        <v>46271</v>
      </c>
      <c r="B65" t="s">
        <v>5</v>
      </c>
      <c r="C65" t="s">
        <v>9</v>
      </c>
      <c r="D65" s="2">
        <v>3784</v>
      </c>
      <c r="E65" s="3">
        <v>95.89</v>
      </c>
    </row>
    <row r="66" spans="1:5" x14ac:dyDescent="0.2">
      <c r="A66" s="1">
        <v>46271</v>
      </c>
      <c r="B66" t="s">
        <v>5</v>
      </c>
      <c r="C66" t="s">
        <v>10</v>
      </c>
      <c r="D66" s="2">
        <v>1139</v>
      </c>
      <c r="E66" s="3">
        <v>30.1</v>
      </c>
    </row>
    <row r="67" spans="1:5" x14ac:dyDescent="0.2">
      <c r="A67" s="1">
        <v>46271</v>
      </c>
      <c r="B67" t="s">
        <v>5</v>
      </c>
      <c r="C67" t="s">
        <v>11</v>
      </c>
      <c r="D67" s="2">
        <v>1136</v>
      </c>
      <c r="E67" s="3">
        <v>99.74</v>
      </c>
    </row>
    <row r="68" spans="1:5" x14ac:dyDescent="0.2">
      <c r="A68" s="1">
        <v>46271</v>
      </c>
      <c r="B68" t="s">
        <v>5</v>
      </c>
      <c r="C68" t="s">
        <v>12</v>
      </c>
      <c r="D68" s="2">
        <v>739</v>
      </c>
      <c r="E68" s="3">
        <v>65.05</v>
      </c>
    </row>
    <row r="69" spans="1:5" x14ac:dyDescent="0.2">
      <c r="A69" s="1">
        <v>46271</v>
      </c>
      <c r="B69" t="s">
        <v>5</v>
      </c>
      <c r="C69" t="s">
        <v>13</v>
      </c>
      <c r="D69" s="2">
        <v>2505</v>
      </c>
    </row>
    <row r="70" spans="1:5" x14ac:dyDescent="0.2">
      <c r="A70" s="1">
        <v>46271</v>
      </c>
      <c r="B70" t="s">
        <v>5</v>
      </c>
      <c r="C70" t="s">
        <v>14</v>
      </c>
      <c r="D70" s="2">
        <v>606</v>
      </c>
      <c r="E70" s="3">
        <v>24.19</v>
      </c>
    </row>
    <row r="71" spans="1:5" x14ac:dyDescent="0.2">
      <c r="A71" s="1">
        <v>46271</v>
      </c>
      <c r="B71" t="s">
        <v>5</v>
      </c>
      <c r="C71" t="s">
        <v>15</v>
      </c>
      <c r="D71" s="2">
        <v>1345</v>
      </c>
      <c r="E71" s="3">
        <v>34.090000000000003</v>
      </c>
    </row>
    <row r="72" spans="1:5" x14ac:dyDescent="0.2">
      <c r="A72" s="1">
        <v>46271</v>
      </c>
      <c r="B72" t="s">
        <v>5</v>
      </c>
      <c r="C72" t="s">
        <v>16</v>
      </c>
      <c r="D72" s="2">
        <v>1235</v>
      </c>
      <c r="E72" s="3">
        <v>67.41</v>
      </c>
    </row>
    <row r="73" spans="1:5" x14ac:dyDescent="0.2">
      <c r="A73" s="1">
        <v>46271</v>
      </c>
      <c r="B73" t="s">
        <v>5</v>
      </c>
      <c r="C73" t="s">
        <v>17</v>
      </c>
      <c r="D73" s="2">
        <v>1228</v>
      </c>
      <c r="E73" s="3">
        <v>99.43</v>
      </c>
    </row>
    <row r="74" spans="1:5" x14ac:dyDescent="0.2">
      <c r="A74" s="1">
        <v>46272</v>
      </c>
      <c r="B74" t="s">
        <v>5</v>
      </c>
      <c r="C74" t="s">
        <v>6</v>
      </c>
      <c r="D74" s="2">
        <v>2994</v>
      </c>
    </row>
    <row r="75" spans="1:5" x14ac:dyDescent="0.2">
      <c r="A75" s="1">
        <v>46272</v>
      </c>
      <c r="B75" t="s">
        <v>5</v>
      </c>
      <c r="C75" t="s">
        <v>7</v>
      </c>
      <c r="D75" s="2">
        <v>2876</v>
      </c>
      <c r="E75" s="3">
        <v>96.06</v>
      </c>
    </row>
    <row r="76" spans="1:5" x14ac:dyDescent="0.2">
      <c r="A76" s="1">
        <v>46272</v>
      </c>
      <c r="B76" t="s">
        <v>5</v>
      </c>
      <c r="C76" t="s">
        <v>8</v>
      </c>
      <c r="D76" s="2">
        <v>2871</v>
      </c>
      <c r="E76" s="3">
        <v>99.83</v>
      </c>
    </row>
    <row r="77" spans="1:5" x14ac:dyDescent="0.2">
      <c r="A77" s="1">
        <v>46272</v>
      </c>
      <c r="B77" t="s">
        <v>5</v>
      </c>
      <c r="C77" t="s">
        <v>9</v>
      </c>
      <c r="D77" s="2">
        <v>2755</v>
      </c>
      <c r="E77" s="3">
        <v>95.96</v>
      </c>
    </row>
    <row r="78" spans="1:5" x14ac:dyDescent="0.2">
      <c r="A78" s="1">
        <v>46272</v>
      </c>
      <c r="B78" t="s">
        <v>5</v>
      </c>
      <c r="C78" t="s">
        <v>10</v>
      </c>
      <c r="D78" s="2">
        <v>813</v>
      </c>
      <c r="E78" s="3">
        <v>29.51</v>
      </c>
    </row>
    <row r="79" spans="1:5" x14ac:dyDescent="0.2">
      <c r="A79" s="1">
        <v>46272</v>
      </c>
      <c r="B79" t="s">
        <v>5</v>
      </c>
      <c r="C79" t="s">
        <v>11</v>
      </c>
      <c r="D79" s="2">
        <v>811</v>
      </c>
      <c r="E79" s="3">
        <v>99.75</v>
      </c>
    </row>
    <row r="80" spans="1:5" x14ac:dyDescent="0.2">
      <c r="A80" s="1">
        <v>46272</v>
      </c>
      <c r="B80" t="s">
        <v>5</v>
      </c>
      <c r="C80" t="s">
        <v>12</v>
      </c>
      <c r="D80" s="2">
        <v>540</v>
      </c>
      <c r="E80" s="3">
        <v>66.58</v>
      </c>
    </row>
    <row r="81" spans="1:5" x14ac:dyDescent="0.2">
      <c r="A81" s="1">
        <v>46272</v>
      </c>
      <c r="B81" t="s">
        <v>5</v>
      </c>
      <c r="C81" t="s">
        <v>13</v>
      </c>
      <c r="D81" s="2">
        <v>1785</v>
      </c>
    </row>
    <row r="82" spans="1:5" x14ac:dyDescent="0.2">
      <c r="A82" s="1">
        <v>46272</v>
      </c>
      <c r="B82" t="s">
        <v>5</v>
      </c>
      <c r="C82" t="s">
        <v>14</v>
      </c>
      <c r="D82" s="2">
        <v>444</v>
      </c>
      <c r="E82" s="3">
        <v>24.87</v>
      </c>
    </row>
    <row r="83" spans="1:5" x14ac:dyDescent="0.2">
      <c r="A83" s="1">
        <v>46272</v>
      </c>
      <c r="B83" t="s">
        <v>5</v>
      </c>
      <c r="C83" t="s">
        <v>15</v>
      </c>
      <c r="D83" s="2">
        <v>984</v>
      </c>
      <c r="E83" s="3">
        <v>34.270000000000003</v>
      </c>
    </row>
    <row r="84" spans="1:5" x14ac:dyDescent="0.2">
      <c r="A84" s="1">
        <v>46272</v>
      </c>
      <c r="B84" t="s">
        <v>5</v>
      </c>
      <c r="C84" t="s">
        <v>16</v>
      </c>
      <c r="D84" s="2">
        <v>903</v>
      </c>
      <c r="E84" s="3">
        <v>69.09</v>
      </c>
    </row>
    <row r="85" spans="1:5" x14ac:dyDescent="0.2">
      <c r="A85" s="1">
        <v>46272</v>
      </c>
      <c r="B85" t="s">
        <v>5</v>
      </c>
      <c r="C85" t="s">
        <v>17</v>
      </c>
      <c r="D85" s="2">
        <v>895</v>
      </c>
      <c r="E85" s="3">
        <v>99.11</v>
      </c>
    </row>
    <row r="86" spans="1:5" x14ac:dyDescent="0.2">
      <c r="A86" s="1">
        <v>46273</v>
      </c>
      <c r="B86" t="s">
        <v>5</v>
      </c>
      <c r="C86" t="s">
        <v>6</v>
      </c>
      <c r="D86" s="2">
        <v>4216</v>
      </c>
    </row>
    <row r="87" spans="1:5" x14ac:dyDescent="0.2">
      <c r="A87" s="1">
        <v>46273</v>
      </c>
      <c r="B87" t="s">
        <v>5</v>
      </c>
      <c r="C87" t="s">
        <v>7</v>
      </c>
      <c r="D87" s="2">
        <v>3996</v>
      </c>
      <c r="E87" s="3">
        <v>94.78</v>
      </c>
    </row>
    <row r="88" spans="1:5" x14ac:dyDescent="0.2">
      <c r="A88" s="1">
        <v>46273</v>
      </c>
      <c r="B88" t="s">
        <v>5</v>
      </c>
      <c r="C88" t="s">
        <v>8</v>
      </c>
      <c r="D88" s="2">
        <v>3992</v>
      </c>
      <c r="E88" s="3">
        <v>99.9</v>
      </c>
    </row>
    <row r="89" spans="1:5" x14ac:dyDescent="0.2">
      <c r="A89" s="1">
        <v>46273</v>
      </c>
      <c r="B89" t="s">
        <v>5</v>
      </c>
      <c r="C89" t="s">
        <v>9</v>
      </c>
      <c r="D89" s="2">
        <v>3815</v>
      </c>
      <c r="E89" s="3">
        <v>95.57</v>
      </c>
    </row>
    <row r="90" spans="1:5" x14ac:dyDescent="0.2">
      <c r="A90" s="1">
        <v>46273</v>
      </c>
      <c r="B90" t="s">
        <v>5</v>
      </c>
      <c r="C90" t="s">
        <v>10</v>
      </c>
      <c r="D90" s="2">
        <v>738</v>
      </c>
      <c r="E90" s="3">
        <v>19.34</v>
      </c>
    </row>
    <row r="91" spans="1:5" x14ac:dyDescent="0.2">
      <c r="A91" s="1">
        <v>46273</v>
      </c>
      <c r="B91" t="s">
        <v>5</v>
      </c>
      <c r="C91" t="s">
        <v>11</v>
      </c>
      <c r="D91" s="2">
        <v>737</v>
      </c>
      <c r="E91" s="3">
        <v>99.86</v>
      </c>
    </row>
    <row r="92" spans="1:5" x14ac:dyDescent="0.2">
      <c r="A92" s="1">
        <v>46273</v>
      </c>
      <c r="B92" t="s">
        <v>5</v>
      </c>
      <c r="C92" t="s">
        <v>12</v>
      </c>
      <c r="D92" s="2">
        <v>518</v>
      </c>
      <c r="E92" s="3">
        <v>70.28</v>
      </c>
    </row>
    <row r="93" spans="1:5" x14ac:dyDescent="0.2">
      <c r="A93" s="1">
        <v>46273</v>
      </c>
      <c r="B93" t="s">
        <v>5</v>
      </c>
      <c r="C93" t="s">
        <v>13</v>
      </c>
      <c r="D93" s="2">
        <v>2944</v>
      </c>
    </row>
    <row r="94" spans="1:5" x14ac:dyDescent="0.2">
      <c r="A94" s="1">
        <v>46273</v>
      </c>
      <c r="B94" t="s">
        <v>5</v>
      </c>
      <c r="C94" t="s">
        <v>14</v>
      </c>
      <c r="D94" s="2">
        <v>761</v>
      </c>
      <c r="E94" s="3">
        <v>25.85</v>
      </c>
    </row>
    <row r="95" spans="1:5" x14ac:dyDescent="0.2">
      <c r="A95" s="1">
        <v>46273</v>
      </c>
      <c r="B95" t="s">
        <v>5</v>
      </c>
      <c r="C95" t="s">
        <v>15</v>
      </c>
      <c r="D95" s="2">
        <v>1279</v>
      </c>
      <c r="E95" s="3">
        <v>32.04</v>
      </c>
    </row>
    <row r="96" spans="1:5" x14ac:dyDescent="0.2">
      <c r="A96" s="1">
        <v>46273</v>
      </c>
      <c r="B96" t="s">
        <v>5</v>
      </c>
      <c r="C96" t="s">
        <v>16</v>
      </c>
      <c r="D96" s="2">
        <v>1195</v>
      </c>
      <c r="E96" s="3">
        <v>69.2</v>
      </c>
    </row>
    <row r="97" spans="1:5" x14ac:dyDescent="0.2">
      <c r="A97" s="1">
        <v>46273</v>
      </c>
      <c r="B97" t="s">
        <v>5</v>
      </c>
      <c r="C97" t="s">
        <v>17</v>
      </c>
      <c r="D97" s="2">
        <v>1182</v>
      </c>
      <c r="E97" s="3">
        <v>98.91</v>
      </c>
    </row>
    <row r="98" spans="1:5" x14ac:dyDescent="0.2">
      <c r="A98" s="1">
        <v>46274</v>
      </c>
      <c r="B98" t="s">
        <v>5</v>
      </c>
      <c r="C98" t="s">
        <v>6</v>
      </c>
      <c r="D98" s="2">
        <v>6004</v>
      </c>
    </row>
    <row r="99" spans="1:5" x14ac:dyDescent="0.2">
      <c r="A99" s="1">
        <v>46274</v>
      </c>
      <c r="B99" t="s">
        <v>5</v>
      </c>
      <c r="C99" t="s">
        <v>7</v>
      </c>
      <c r="D99" s="2">
        <v>5823</v>
      </c>
      <c r="E99" s="3">
        <v>96.99</v>
      </c>
    </row>
    <row r="100" spans="1:5" x14ac:dyDescent="0.2">
      <c r="A100" s="1">
        <v>46274</v>
      </c>
      <c r="B100" t="s">
        <v>5</v>
      </c>
      <c r="C100" t="s">
        <v>8</v>
      </c>
      <c r="D100" s="2">
        <v>5816</v>
      </c>
      <c r="E100" s="3">
        <v>99.88</v>
      </c>
    </row>
    <row r="101" spans="1:5" x14ac:dyDescent="0.2">
      <c r="A101" s="1">
        <v>46274</v>
      </c>
      <c r="B101" t="s">
        <v>5</v>
      </c>
      <c r="C101" t="s">
        <v>9</v>
      </c>
      <c r="D101" s="2">
        <v>5592</v>
      </c>
      <c r="E101" s="3">
        <v>96.15</v>
      </c>
    </row>
    <row r="102" spans="1:5" x14ac:dyDescent="0.2">
      <c r="A102" s="1">
        <v>46274</v>
      </c>
      <c r="B102" t="s">
        <v>5</v>
      </c>
      <c r="C102" t="s">
        <v>10</v>
      </c>
      <c r="D102" s="2">
        <v>1668</v>
      </c>
      <c r="E102" s="3">
        <v>29.83</v>
      </c>
    </row>
    <row r="103" spans="1:5" x14ac:dyDescent="0.2">
      <c r="A103" s="1">
        <v>46274</v>
      </c>
      <c r="B103" t="s">
        <v>5</v>
      </c>
      <c r="C103" t="s">
        <v>11</v>
      </c>
      <c r="D103" s="2">
        <v>1664</v>
      </c>
      <c r="E103" s="3">
        <v>99.76</v>
      </c>
    </row>
    <row r="104" spans="1:5" x14ac:dyDescent="0.2">
      <c r="A104" s="1">
        <v>46274</v>
      </c>
      <c r="B104" t="s">
        <v>5</v>
      </c>
      <c r="C104" t="s">
        <v>12</v>
      </c>
      <c r="D104" s="2">
        <v>1216</v>
      </c>
      <c r="E104" s="3">
        <v>73.08</v>
      </c>
    </row>
    <row r="105" spans="1:5" x14ac:dyDescent="0.2">
      <c r="A105" s="1">
        <v>46274</v>
      </c>
      <c r="B105" t="s">
        <v>5</v>
      </c>
      <c r="C105" t="s">
        <v>13</v>
      </c>
      <c r="D105" s="2">
        <v>3639</v>
      </c>
    </row>
    <row r="106" spans="1:5" x14ac:dyDescent="0.2">
      <c r="A106" s="1">
        <v>46274</v>
      </c>
      <c r="B106" t="s">
        <v>5</v>
      </c>
      <c r="C106" t="s">
        <v>14</v>
      </c>
      <c r="D106" s="2">
        <v>965</v>
      </c>
      <c r="E106" s="3">
        <v>26.52</v>
      </c>
    </row>
    <row r="107" spans="1:5" x14ac:dyDescent="0.2">
      <c r="A107" s="1">
        <v>46274</v>
      </c>
      <c r="B107" t="s">
        <v>5</v>
      </c>
      <c r="C107" t="s">
        <v>15</v>
      </c>
      <c r="D107" s="2">
        <v>2181</v>
      </c>
      <c r="E107" s="3">
        <v>37.5</v>
      </c>
    </row>
    <row r="108" spans="1:5" x14ac:dyDescent="0.2">
      <c r="A108" s="1">
        <v>46274</v>
      </c>
      <c r="B108" t="s">
        <v>5</v>
      </c>
      <c r="C108" t="s">
        <v>16</v>
      </c>
      <c r="D108" s="2">
        <v>2015</v>
      </c>
      <c r="E108" s="3">
        <v>72.98</v>
      </c>
    </row>
    <row r="109" spans="1:5" x14ac:dyDescent="0.2">
      <c r="A109" s="1">
        <v>46274</v>
      </c>
      <c r="B109" t="s">
        <v>5</v>
      </c>
      <c r="C109" t="s">
        <v>17</v>
      </c>
      <c r="D109" s="2">
        <v>1993</v>
      </c>
      <c r="E109" s="3">
        <v>98.91</v>
      </c>
    </row>
    <row r="110" spans="1:5" x14ac:dyDescent="0.2">
      <c r="A110" s="1">
        <v>46275</v>
      </c>
      <c r="B110" t="s">
        <v>5</v>
      </c>
      <c r="C110" t="s">
        <v>6</v>
      </c>
      <c r="D110" s="2">
        <v>9365</v>
      </c>
    </row>
    <row r="111" spans="1:5" x14ac:dyDescent="0.2">
      <c r="A111" s="1">
        <v>46275</v>
      </c>
      <c r="B111" t="s">
        <v>5</v>
      </c>
      <c r="C111" t="s">
        <v>7</v>
      </c>
      <c r="D111" s="2">
        <v>9097</v>
      </c>
      <c r="E111" s="3">
        <v>97.14</v>
      </c>
    </row>
    <row r="112" spans="1:5" x14ac:dyDescent="0.2">
      <c r="A112" s="1">
        <v>46275</v>
      </c>
      <c r="B112" t="s">
        <v>5</v>
      </c>
      <c r="C112" t="s">
        <v>8</v>
      </c>
      <c r="D112" s="2">
        <v>9091</v>
      </c>
      <c r="E112" s="3">
        <v>99.93</v>
      </c>
    </row>
    <row r="113" spans="1:5" x14ac:dyDescent="0.2">
      <c r="A113" s="1">
        <v>46275</v>
      </c>
      <c r="B113" t="s">
        <v>5</v>
      </c>
      <c r="C113" t="s">
        <v>9</v>
      </c>
      <c r="D113" s="2">
        <v>8672</v>
      </c>
      <c r="E113" s="3">
        <v>95.39</v>
      </c>
    </row>
    <row r="114" spans="1:5" x14ac:dyDescent="0.2">
      <c r="A114" s="1">
        <v>46275</v>
      </c>
      <c r="B114" t="s">
        <v>5</v>
      </c>
      <c r="C114" t="s">
        <v>10</v>
      </c>
      <c r="D114" s="2">
        <v>2719</v>
      </c>
      <c r="E114" s="3">
        <v>31.35</v>
      </c>
    </row>
    <row r="115" spans="1:5" x14ac:dyDescent="0.2">
      <c r="A115" s="1">
        <v>46275</v>
      </c>
      <c r="B115" t="s">
        <v>5</v>
      </c>
      <c r="C115" t="s">
        <v>11</v>
      </c>
      <c r="D115" s="2">
        <v>2719</v>
      </c>
      <c r="E115" s="2">
        <v>100</v>
      </c>
    </row>
    <row r="116" spans="1:5" x14ac:dyDescent="0.2">
      <c r="A116" s="1">
        <v>46275</v>
      </c>
      <c r="B116" t="s">
        <v>5</v>
      </c>
      <c r="C116" t="s">
        <v>12</v>
      </c>
      <c r="D116" s="2">
        <v>1980</v>
      </c>
      <c r="E116" s="3">
        <v>72.819999999999993</v>
      </c>
    </row>
    <row r="117" spans="1:5" x14ac:dyDescent="0.2">
      <c r="A117" s="1">
        <v>46275</v>
      </c>
      <c r="B117" t="s">
        <v>5</v>
      </c>
      <c r="C117" t="s">
        <v>13</v>
      </c>
      <c r="D117" s="2">
        <v>5441</v>
      </c>
    </row>
    <row r="118" spans="1:5" x14ac:dyDescent="0.2">
      <c r="A118" s="1">
        <v>46275</v>
      </c>
      <c r="B118" t="s">
        <v>5</v>
      </c>
      <c r="C118" t="s">
        <v>14</v>
      </c>
      <c r="D118" s="2">
        <v>1446</v>
      </c>
      <c r="E118" s="3">
        <v>26.58</v>
      </c>
    </row>
    <row r="119" spans="1:5" x14ac:dyDescent="0.2">
      <c r="A119" s="1">
        <v>46275</v>
      </c>
      <c r="B119" t="s">
        <v>5</v>
      </c>
      <c r="C119" t="s">
        <v>15</v>
      </c>
      <c r="D119" s="2">
        <v>3426</v>
      </c>
      <c r="E119" s="3">
        <v>37.69</v>
      </c>
    </row>
    <row r="120" spans="1:5" x14ac:dyDescent="0.2">
      <c r="A120" s="1">
        <v>46275</v>
      </c>
      <c r="B120" t="s">
        <v>5</v>
      </c>
      <c r="C120" t="s">
        <v>16</v>
      </c>
      <c r="D120" s="2">
        <v>3148</v>
      </c>
      <c r="E120" s="3">
        <v>72.900000000000006</v>
      </c>
    </row>
    <row r="121" spans="1:5" x14ac:dyDescent="0.2">
      <c r="A121" s="1">
        <v>46275</v>
      </c>
      <c r="B121" t="s">
        <v>5</v>
      </c>
      <c r="C121" t="s">
        <v>17</v>
      </c>
      <c r="D121" s="2">
        <v>3126</v>
      </c>
      <c r="E121" s="3">
        <v>99.3</v>
      </c>
    </row>
    <row r="122" spans="1:5" x14ac:dyDescent="0.2">
      <c r="A122" s="1">
        <v>46276</v>
      </c>
      <c r="B122" t="s">
        <v>5</v>
      </c>
      <c r="C122" t="s">
        <v>6</v>
      </c>
      <c r="D122" s="2">
        <v>9500</v>
      </c>
    </row>
    <row r="123" spans="1:5" x14ac:dyDescent="0.2">
      <c r="A123" s="1">
        <v>46276</v>
      </c>
      <c r="B123" t="s">
        <v>5</v>
      </c>
      <c r="C123" t="s">
        <v>7</v>
      </c>
      <c r="D123" s="2">
        <v>9290</v>
      </c>
      <c r="E123" s="3">
        <v>97.79</v>
      </c>
    </row>
    <row r="124" spans="1:5" x14ac:dyDescent="0.2">
      <c r="A124" s="1">
        <v>46276</v>
      </c>
      <c r="B124" t="s">
        <v>5</v>
      </c>
      <c r="C124" t="s">
        <v>8</v>
      </c>
      <c r="D124" s="2">
        <v>9275</v>
      </c>
      <c r="E124" s="3">
        <v>99.84</v>
      </c>
    </row>
    <row r="125" spans="1:5" x14ac:dyDescent="0.2">
      <c r="A125" s="1">
        <v>46276</v>
      </c>
      <c r="B125" t="s">
        <v>5</v>
      </c>
      <c r="C125" t="s">
        <v>9</v>
      </c>
      <c r="D125" s="2">
        <v>8887</v>
      </c>
      <c r="E125" s="3">
        <v>95.82</v>
      </c>
    </row>
    <row r="126" spans="1:5" x14ac:dyDescent="0.2">
      <c r="A126" s="1">
        <v>46276</v>
      </c>
      <c r="B126" t="s">
        <v>5</v>
      </c>
      <c r="C126" t="s">
        <v>10</v>
      </c>
      <c r="D126" s="2">
        <v>2600</v>
      </c>
      <c r="E126" s="3">
        <v>29.26</v>
      </c>
    </row>
    <row r="127" spans="1:5" x14ac:dyDescent="0.2">
      <c r="A127" s="1">
        <v>46276</v>
      </c>
      <c r="B127" t="s">
        <v>5</v>
      </c>
      <c r="C127" t="s">
        <v>11</v>
      </c>
      <c r="D127" s="2">
        <v>2596</v>
      </c>
      <c r="E127" s="3">
        <v>99.85</v>
      </c>
    </row>
    <row r="128" spans="1:5" x14ac:dyDescent="0.2">
      <c r="A128" s="1">
        <v>46276</v>
      </c>
      <c r="B128" t="s">
        <v>5</v>
      </c>
      <c r="C128" t="s">
        <v>12</v>
      </c>
      <c r="D128" s="2">
        <v>1817</v>
      </c>
      <c r="E128" s="3">
        <v>69.989999999999995</v>
      </c>
    </row>
    <row r="129" spans="1:5" x14ac:dyDescent="0.2">
      <c r="A129" s="1">
        <v>46276</v>
      </c>
      <c r="B129" t="s">
        <v>5</v>
      </c>
      <c r="C129" t="s">
        <v>13</v>
      </c>
      <c r="D129" s="2">
        <v>5669</v>
      </c>
    </row>
    <row r="130" spans="1:5" x14ac:dyDescent="0.2">
      <c r="A130" s="1">
        <v>46276</v>
      </c>
      <c r="B130" t="s">
        <v>5</v>
      </c>
      <c r="C130" t="s">
        <v>14</v>
      </c>
      <c r="D130" s="2">
        <v>1444</v>
      </c>
      <c r="E130" s="3">
        <v>25.47</v>
      </c>
    </row>
    <row r="131" spans="1:5" x14ac:dyDescent="0.2">
      <c r="A131" s="1">
        <v>46276</v>
      </c>
      <c r="B131" t="s">
        <v>5</v>
      </c>
      <c r="C131" t="s">
        <v>15</v>
      </c>
      <c r="D131" s="2">
        <v>3261</v>
      </c>
      <c r="E131" s="3">
        <v>35.159999999999997</v>
      </c>
    </row>
    <row r="132" spans="1:5" x14ac:dyDescent="0.2">
      <c r="A132" s="1">
        <v>46276</v>
      </c>
      <c r="B132" t="s">
        <v>5</v>
      </c>
      <c r="C132" t="s">
        <v>16</v>
      </c>
      <c r="D132" s="2">
        <v>2964</v>
      </c>
      <c r="E132" s="3">
        <v>69.069999999999993</v>
      </c>
    </row>
    <row r="133" spans="1:5" x14ac:dyDescent="0.2">
      <c r="A133" s="1">
        <v>46276</v>
      </c>
      <c r="B133" t="s">
        <v>5</v>
      </c>
      <c r="C133" t="s">
        <v>17</v>
      </c>
      <c r="D133" s="2">
        <v>2938</v>
      </c>
      <c r="E133" s="3">
        <v>99.12</v>
      </c>
    </row>
    <row r="134" spans="1:5" x14ac:dyDescent="0.2">
      <c r="A134" s="1">
        <v>46277</v>
      </c>
      <c r="B134" t="s">
        <v>5</v>
      </c>
      <c r="C134" t="s">
        <v>6</v>
      </c>
      <c r="D134" s="2">
        <v>9504</v>
      </c>
    </row>
    <row r="135" spans="1:5" x14ac:dyDescent="0.2">
      <c r="A135" s="1">
        <v>46277</v>
      </c>
      <c r="B135" t="s">
        <v>5</v>
      </c>
      <c r="C135" t="s">
        <v>7</v>
      </c>
      <c r="D135" s="2">
        <v>9319</v>
      </c>
      <c r="E135" s="3">
        <v>98.05</v>
      </c>
    </row>
    <row r="136" spans="1:5" x14ac:dyDescent="0.2">
      <c r="A136" s="1">
        <v>46277</v>
      </c>
      <c r="B136" t="s">
        <v>5</v>
      </c>
      <c r="C136" t="s">
        <v>8</v>
      </c>
      <c r="D136" s="2">
        <v>9312</v>
      </c>
      <c r="E136" s="3">
        <v>99.92</v>
      </c>
    </row>
    <row r="137" spans="1:5" x14ac:dyDescent="0.2">
      <c r="A137" s="1">
        <v>46277</v>
      </c>
      <c r="B137" t="s">
        <v>5</v>
      </c>
      <c r="C137" t="s">
        <v>9</v>
      </c>
      <c r="D137" s="2">
        <v>8897</v>
      </c>
      <c r="E137" s="3">
        <v>95.54</v>
      </c>
    </row>
    <row r="138" spans="1:5" x14ac:dyDescent="0.2">
      <c r="A138" s="1">
        <v>46277</v>
      </c>
      <c r="B138" t="s">
        <v>5</v>
      </c>
      <c r="C138" t="s">
        <v>10</v>
      </c>
      <c r="D138" s="2">
        <v>2278</v>
      </c>
      <c r="E138" s="3">
        <v>25.6</v>
      </c>
    </row>
    <row r="139" spans="1:5" x14ac:dyDescent="0.2">
      <c r="A139" s="1">
        <v>46277</v>
      </c>
      <c r="B139" t="s">
        <v>5</v>
      </c>
      <c r="C139" t="s">
        <v>11</v>
      </c>
      <c r="D139" s="2">
        <v>2278</v>
      </c>
      <c r="E139" s="2">
        <v>100</v>
      </c>
    </row>
    <row r="140" spans="1:5" x14ac:dyDescent="0.2">
      <c r="A140" s="1">
        <v>46277</v>
      </c>
      <c r="B140" t="s">
        <v>5</v>
      </c>
      <c r="C140" t="s">
        <v>12</v>
      </c>
      <c r="D140" s="2">
        <v>1582</v>
      </c>
      <c r="E140" s="3">
        <v>69.45</v>
      </c>
    </row>
    <row r="141" spans="1:5" x14ac:dyDescent="0.2">
      <c r="A141" s="1">
        <v>46277</v>
      </c>
      <c r="B141" t="s">
        <v>5</v>
      </c>
      <c r="C141" t="s">
        <v>13</v>
      </c>
      <c r="D141" s="2">
        <v>5850</v>
      </c>
    </row>
    <row r="142" spans="1:5" x14ac:dyDescent="0.2">
      <c r="A142" s="1">
        <v>46277</v>
      </c>
      <c r="B142" t="s">
        <v>5</v>
      </c>
      <c r="C142" t="s">
        <v>14</v>
      </c>
      <c r="D142" s="2">
        <v>1441</v>
      </c>
      <c r="E142" s="3">
        <v>24.63</v>
      </c>
    </row>
    <row r="143" spans="1:5" x14ac:dyDescent="0.2">
      <c r="A143" s="1">
        <v>46277</v>
      </c>
      <c r="B143" t="s">
        <v>5</v>
      </c>
      <c r="C143" t="s">
        <v>15</v>
      </c>
      <c r="D143" s="2">
        <v>3023</v>
      </c>
      <c r="E143" s="3">
        <v>32.46</v>
      </c>
    </row>
    <row r="144" spans="1:5" x14ac:dyDescent="0.2">
      <c r="A144" s="1">
        <v>46277</v>
      </c>
      <c r="B144" t="s">
        <v>5</v>
      </c>
      <c r="C144" t="s">
        <v>16</v>
      </c>
      <c r="D144" s="2">
        <v>2760</v>
      </c>
      <c r="E144" s="3">
        <v>66.47</v>
      </c>
    </row>
    <row r="145" spans="1:5" x14ac:dyDescent="0.2">
      <c r="A145" s="1">
        <v>46277</v>
      </c>
      <c r="B145" t="s">
        <v>5</v>
      </c>
      <c r="C145" t="s">
        <v>17</v>
      </c>
      <c r="D145" s="2">
        <v>2734</v>
      </c>
      <c r="E145" s="3">
        <v>99.06</v>
      </c>
    </row>
    <row r="146" spans="1:5" x14ac:dyDescent="0.2">
      <c r="A146" s="1">
        <v>46278</v>
      </c>
      <c r="B146" t="s">
        <v>5</v>
      </c>
      <c r="C146" t="s">
        <v>6</v>
      </c>
      <c r="D146" s="2">
        <v>10761</v>
      </c>
    </row>
    <row r="147" spans="1:5" x14ac:dyDescent="0.2">
      <c r="A147" s="1">
        <v>46278</v>
      </c>
      <c r="B147" t="s">
        <v>5</v>
      </c>
      <c r="C147" t="s">
        <v>7</v>
      </c>
      <c r="D147" s="2">
        <v>10501</v>
      </c>
      <c r="E147" s="3">
        <v>97.58</v>
      </c>
    </row>
    <row r="148" spans="1:5" x14ac:dyDescent="0.2">
      <c r="A148" s="1">
        <v>46278</v>
      </c>
      <c r="B148" t="s">
        <v>5</v>
      </c>
      <c r="C148" t="s">
        <v>8</v>
      </c>
      <c r="D148" s="2">
        <v>10490</v>
      </c>
      <c r="E148" s="3">
        <v>99.9</v>
      </c>
    </row>
    <row r="149" spans="1:5" x14ac:dyDescent="0.2">
      <c r="A149" s="1">
        <v>46278</v>
      </c>
      <c r="B149" t="s">
        <v>5</v>
      </c>
      <c r="C149" t="s">
        <v>9</v>
      </c>
      <c r="D149" s="2">
        <v>10054</v>
      </c>
      <c r="E149" s="3">
        <v>95.84</v>
      </c>
    </row>
    <row r="150" spans="1:5" x14ac:dyDescent="0.2">
      <c r="A150" s="1">
        <v>46278</v>
      </c>
      <c r="B150" t="s">
        <v>5</v>
      </c>
      <c r="C150" t="s">
        <v>10</v>
      </c>
      <c r="D150" s="2">
        <v>2728</v>
      </c>
      <c r="E150" s="3">
        <v>27.13</v>
      </c>
    </row>
    <row r="151" spans="1:5" x14ac:dyDescent="0.2">
      <c r="A151" s="1">
        <v>46278</v>
      </c>
      <c r="B151" t="s">
        <v>5</v>
      </c>
      <c r="C151" t="s">
        <v>11</v>
      </c>
      <c r="D151" s="2">
        <v>2723</v>
      </c>
      <c r="E151" s="3">
        <v>99.82</v>
      </c>
    </row>
    <row r="152" spans="1:5" x14ac:dyDescent="0.2">
      <c r="A152" s="1">
        <v>46278</v>
      </c>
      <c r="B152" t="s">
        <v>5</v>
      </c>
      <c r="C152" t="s">
        <v>12</v>
      </c>
      <c r="D152" s="2">
        <v>1918</v>
      </c>
      <c r="E152" s="3">
        <v>70.44</v>
      </c>
    </row>
    <row r="153" spans="1:5" x14ac:dyDescent="0.2">
      <c r="A153" s="1">
        <v>46278</v>
      </c>
      <c r="B153" t="s">
        <v>5</v>
      </c>
      <c r="C153" t="s">
        <v>13</v>
      </c>
      <c r="D153" s="2">
        <v>6532</v>
      </c>
    </row>
    <row r="154" spans="1:5" x14ac:dyDescent="0.2">
      <c r="A154" s="1">
        <v>46278</v>
      </c>
      <c r="B154" t="s">
        <v>5</v>
      </c>
      <c r="C154" t="s">
        <v>14</v>
      </c>
      <c r="D154" s="2">
        <v>1692</v>
      </c>
      <c r="E154" s="3">
        <v>25.9</v>
      </c>
    </row>
    <row r="155" spans="1:5" x14ac:dyDescent="0.2">
      <c r="A155" s="1">
        <v>46278</v>
      </c>
      <c r="B155" t="s">
        <v>5</v>
      </c>
      <c r="C155" t="s">
        <v>15</v>
      </c>
      <c r="D155" s="2">
        <v>3610</v>
      </c>
      <c r="E155" s="3">
        <v>34.409999999999997</v>
      </c>
    </row>
    <row r="156" spans="1:5" x14ac:dyDescent="0.2">
      <c r="A156" s="1">
        <v>46278</v>
      </c>
      <c r="B156" t="s">
        <v>5</v>
      </c>
      <c r="C156" t="s">
        <v>16</v>
      </c>
      <c r="D156" s="2">
        <v>3311</v>
      </c>
      <c r="E156" s="3">
        <v>66.73</v>
      </c>
    </row>
    <row r="157" spans="1:5" x14ac:dyDescent="0.2">
      <c r="A157" s="1">
        <v>46278</v>
      </c>
      <c r="B157" t="s">
        <v>5</v>
      </c>
      <c r="C157" t="s">
        <v>17</v>
      </c>
      <c r="D157" s="2">
        <v>3273</v>
      </c>
      <c r="E157" s="3">
        <v>98.85</v>
      </c>
    </row>
    <row r="158" spans="1:5" x14ac:dyDescent="0.2">
      <c r="A158" s="1">
        <v>46279</v>
      </c>
      <c r="B158" t="s">
        <v>5</v>
      </c>
      <c r="C158" t="s">
        <v>6</v>
      </c>
      <c r="D158" s="2">
        <v>9223</v>
      </c>
    </row>
    <row r="159" spans="1:5" x14ac:dyDescent="0.2">
      <c r="A159" s="1">
        <v>46279</v>
      </c>
      <c r="B159" t="s">
        <v>5</v>
      </c>
      <c r="C159" t="s">
        <v>7</v>
      </c>
      <c r="D159" s="2">
        <v>8970</v>
      </c>
      <c r="E159" s="3">
        <v>97.26</v>
      </c>
    </row>
    <row r="160" spans="1:5" x14ac:dyDescent="0.2">
      <c r="A160" s="1">
        <v>46279</v>
      </c>
      <c r="B160" t="s">
        <v>5</v>
      </c>
      <c r="C160" t="s">
        <v>8</v>
      </c>
      <c r="D160" s="2">
        <v>8966</v>
      </c>
      <c r="E160" s="3">
        <v>99.96</v>
      </c>
    </row>
    <row r="161" spans="1:5" x14ac:dyDescent="0.2">
      <c r="A161" s="1">
        <v>46279</v>
      </c>
      <c r="B161" t="s">
        <v>5</v>
      </c>
      <c r="C161" t="s">
        <v>9</v>
      </c>
      <c r="D161" s="2">
        <v>8558</v>
      </c>
      <c r="E161" s="3">
        <v>95.45</v>
      </c>
    </row>
    <row r="162" spans="1:5" x14ac:dyDescent="0.2">
      <c r="A162" s="1">
        <v>46279</v>
      </c>
      <c r="B162" t="s">
        <v>5</v>
      </c>
      <c r="C162" t="s">
        <v>10</v>
      </c>
      <c r="D162" s="2">
        <v>2504</v>
      </c>
      <c r="E162" s="3">
        <v>29.26</v>
      </c>
    </row>
    <row r="163" spans="1:5" x14ac:dyDescent="0.2">
      <c r="A163" s="1">
        <v>46279</v>
      </c>
      <c r="B163" t="s">
        <v>5</v>
      </c>
      <c r="C163" t="s">
        <v>11</v>
      </c>
      <c r="D163" s="2">
        <v>2504</v>
      </c>
      <c r="E163" s="2">
        <v>100</v>
      </c>
    </row>
    <row r="164" spans="1:5" x14ac:dyDescent="0.2">
      <c r="A164" s="1">
        <v>46279</v>
      </c>
      <c r="B164" t="s">
        <v>5</v>
      </c>
      <c r="C164" t="s">
        <v>12</v>
      </c>
      <c r="D164" s="2">
        <v>1853</v>
      </c>
      <c r="E164" s="2">
        <v>74</v>
      </c>
    </row>
    <row r="165" spans="1:5" x14ac:dyDescent="0.2">
      <c r="A165" s="1">
        <v>46279</v>
      </c>
      <c r="B165" t="s">
        <v>5</v>
      </c>
      <c r="C165" t="s">
        <v>13</v>
      </c>
      <c r="D165" s="2">
        <v>5363</v>
      </c>
    </row>
    <row r="166" spans="1:5" x14ac:dyDescent="0.2">
      <c r="A166" s="1">
        <v>46279</v>
      </c>
      <c r="B166" t="s">
        <v>5</v>
      </c>
      <c r="C166" t="s">
        <v>14</v>
      </c>
      <c r="D166" s="2">
        <v>1457</v>
      </c>
      <c r="E166" s="3">
        <v>27.17</v>
      </c>
    </row>
    <row r="167" spans="1:5" x14ac:dyDescent="0.2">
      <c r="A167" s="1">
        <v>46279</v>
      </c>
      <c r="B167" t="s">
        <v>5</v>
      </c>
      <c r="C167" t="s">
        <v>15</v>
      </c>
      <c r="D167" s="2">
        <v>3310</v>
      </c>
      <c r="E167" s="3">
        <v>36.92</v>
      </c>
    </row>
    <row r="168" spans="1:5" x14ac:dyDescent="0.2">
      <c r="A168" s="1">
        <v>46279</v>
      </c>
      <c r="B168" t="s">
        <v>5</v>
      </c>
      <c r="C168" t="s">
        <v>16</v>
      </c>
      <c r="D168" s="2">
        <v>3029</v>
      </c>
      <c r="E168" s="3">
        <v>67.959999999999994</v>
      </c>
    </row>
    <row r="169" spans="1:5" x14ac:dyDescent="0.2">
      <c r="A169" s="1">
        <v>46279</v>
      </c>
      <c r="B169" t="s">
        <v>5</v>
      </c>
      <c r="C169" t="s">
        <v>17</v>
      </c>
      <c r="D169" s="2">
        <v>2988</v>
      </c>
      <c r="E169" s="3">
        <v>98.65</v>
      </c>
    </row>
    <row r="170" spans="1:5" x14ac:dyDescent="0.2">
      <c r="A170" s="1">
        <v>46280</v>
      </c>
      <c r="B170" t="s">
        <v>5</v>
      </c>
      <c r="C170" t="s">
        <v>6</v>
      </c>
      <c r="D170" s="2">
        <v>7916</v>
      </c>
    </row>
    <row r="171" spans="1:5" x14ac:dyDescent="0.2">
      <c r="A171" s="1">
        <v>46280</v>
      </c>
      <c r="B171" t="s">
        <v>5</v>
      </c>
      <c r="C171" t="s">
        <v>7</v>
      </c>
      <c r="D171" s="2">
        <v>7618</v>
      </c>
      <c r="E171" s="3">
        <v>96.24</v>
      </c>
    </row>
    <row r="172" spans="1:5" x14ac:dyDescent="0.2">
      <c r="A172" s="1">
        <v>46280</v>
      </c>
      <c r="B172" t="s">
        <v>5</v>
      </c>
      <c r="C172" t="s">
        <v>8</v>
      </c>
      <c r="D172" s="2">
        <v>7606</v>
      </c>
      <c r="E172" s="3">
        <v>99.84</v>
      </c>
    </row>
    <row r="173" spans="1:5" x14ac:dyDescent="0.2">
      <c r="A173" s="1">
        <v>46280</v>
      </c>
      <c r="B173" t="s">
        <v>5</v>
      </c>
      <c r="C173" t="s">
        <v>9</v>
      </c>
      <c r="D173" s="2">
        <v>7180</v>
      </c>
      <c r="E173" s="3">
        <v>94.4</v>
      </c>
    </row>
    <row r="174" spans="1:5" x14ac:dyDescent="0.2">
      <c r="A174" s="1">
        <v>46280</v>
      </c>
      <c r="B174" t="s">
        <v>5</v>
      </c>
      <c r="C174" t="s">
        <v>10</v>
      </c>
      <c r="D174" s="2">
        <v>2112</v>
      </c>
      <c r="E174" s="3">
        <v>29.42</v>
      </c>
    </row>
    <row r="175" spans="1:5" x14ac:dyDescent="0.2">
      <c r="A175" s="1">
        <v>46280</v>
      </c>
      <c r="B175" t="s">
        <v>5</v>
      </c>
      <c r="C175" t="s">
        <v>11</v>
      </c>
      <c r="D175" s="2">
        <v>2112</v>
      </c>
      <c r="E175" s="2">
        <v>100</v>
      </c>
    </row>
    <row r="176" spans="1:5" x14ac:dyDescent="0.2">
      <c r="A176" s="1">
        <v>46280</v>
      </c>
      <c r="B176" t="s">
        <v>5</v>
      </c>
      <c r="C176" t="s">
        <v>12</v>
      </c>
      <c r="D176" s="2">
        <v>1514</v>
      </c>
      <c r="E176" s="3">
        <v>71.69</v>
      </c>
    </row>
    <row r="177" spans="1:5" x14ac:dyDescent="0.2">
      <c r="A177" s="1">
        <v>46280</v>
      </c>
      <c r="B177" t="s">
        <v>5</v>
      </c>
      <c r="C177" t="s">
        <v>13</v>
      </c>
      <c r="D177" s="2">
        <v>4583</v>
      </c>
    </row>
    <row r="178" spans="1:5" x14ac:dyDescent="0.2">
      <c r="A178" s="1">
        <v>46280</v>
      </c>
      <c r="B178" t="s">
        <v>5</v>
      </c>
      <c r="C178" t="s">
        <v>14</v>
      </c>
      <c r="D178" s="2">
        <v>1223</v>
      </c>
      <c r="E178" s="3">
        <v>26.69</v>
      </c>
    </row>
    <row r="179" spans="1:5" x14ac:dyDescent="0.2">
      <c r="A179" s="1">
        <v>46280</v>
      </c>
      <c r="B179" t="s">
        <v>5</v>
      </c>
      <c r="C179" t="s">
        <v>15</v>
      </c>
      <c r="D179" s="2">
        <v>2737</v>
      </c>
      <c r="E179" s="3">
        <v>35.979999999999997</v>
      </c>
    </row>
    <row r="180" spans="1:5" x14ac:dyDescent="0.2">
      <c r="A180" s="1">
        <v>46280</v>
      </c>
      <c r="B180" t="s">
        <v>5</v>
      </c>
      <c r="C180" t="s">
        <v>16</v>
      </c>
      <c r="D180" s="2">
        <v>2522</v>
      </c>
      <c r="E180" s="3">
        <v>65.69</v>
      </c>
    </row>
    <row r="181" spans="1:5" x14ac:dyDescent="0.2">
      <c r="A181" s="1">
        <v>46280</v>
      </c>
      <c r="B181" t="s">
        <v>5</v>
      </c>
      <c r="C181" t="s">
        <v>17</v>
      </c>
      <c r="D181" s="2">
        <v>2492</v>
      </c>
      <c r="E181" s="3">
        <v>98.81</v>
      </c>
    </row>
    <row r="182" spans="1:5" x14ac:dyDescent="0.2">
      <c r="A182" s="1">
        <v>46281</v>
      </c>
      <c r="B182" t="s">
        <v>5</v>
      </c>
      <c r="C182" t="s">
        <v>6</v>
      </c>
      <c r="D182" s="2">
        <v>7157</v>
      </c>
    </row>
    <row r="183" spans="1:5" x14ac:dyDescent="0.2">
      <c r="A183" s="1">
        <v>46281</v>
      </c>
      <c r="B183" t="s">
        <v>5</v>
      </c>
      <c r="C183" t="s">
        <v>7</v>
      </c>
      <c r="D183" s="2">
        <v>6975</v>
      </c>
      <c r="E183" s="3">
        <v>97.46</v>
      </c>
    </row>
    <row r="184" spans="1:5" x14ac:dyDescent="0.2">
      <c r="A184" s="1">
        <v>46281</v>
      </c>
      <c r="B184" t="s">
        <v>5</v>
      </c>
      <c r="C184" t="s">
        <v>8</v>
      </c>
      <c r="D184" s="2">
        <v>6943</v>
      </c>
      <c r="E184" s="3">
        <v>99.54</v>
      </c>
    </row>
    <row r="185" spans="1:5" x14ac:dyDescent="0.2">
      <c r="A185" s="1">
        <v>46281</v>
      </c>
      <c r="B185" t="s">
        <v>5</v>
      </c>
      <c r="C185" t="s">
        <v>9</v>
      </c>
      <c r="D185" s="2">
        <v>6626</v>
      </c>
      <c r="E185" s="3">
        <v>95.43</v>
      </c>
    </row>
    <row r="186" spans="1:5" x14ac:dyDescent="0.2">
      <c r="A186" s="1">
        <v>46281</v>
      </c>
      <c r="B186" t="s">
        <v>5</v>
      </c>
      <c r="C186" t="s">
        <v>10</v>
      </c>
      <c r="D186" s="2">
        <v>1849</v>
      </c>
      <c r="E186" s="3">
        <v>27.91</v>
      </c>
    </row>
    <row r="187" spans="1:5" x14ac:dyDescent="0.2">
      <c r="A187" s="1">
        <v>46281</v>
      </c>
      <c r="B187" t="s">
        <v>5</v>
      </c>
      <c r="C187" t="s">
        <v>11</v>
      </c>
      <c r="D187" s="2">
        <v>1848</v>
      </c>
      <c r="E187" s="3">
        <v>99.95</v>
      </c>
    </row>
    <row r="188" spans="1:5" x14ac:dyDescent="0.2">
      <c r="A188" s="1">
        <v>46281</v>
      </c>
      <c r="B188" t="s">
        <v>5</v>
      </c>
      <c r="C188" t="s">
        <v>12</v>
      </c>
      <c r="D188" s="2">
        <v>1257</v>
      </c>
      <c r="E188" s="3">
        <v>68.02</v>
      </c>
    </row>
    <row r="189" spans="1:5" x14ac:dyDescent="0.2">
      <c r="A189" s="1">
        <v>46281</v>
      </c>
      <c r="B189" t="s">
        <v>5</v>
      </c>
      <c r="C189" t="s">
        <v>13</v>
      </c>
      <c r="D189" s="2">
        <v>4401</v>
      </c>
    </row>
    <row r="190" spans="1:5" x14ac:dyDescent="0.2">
      <c r="A190" s="1">
        <v>46281</v>
      </c>
      <c r="B190" t="s">
        <v>5</v>
      </c>
      <c r="C190" t="s">
        <v>14</v>
      </c>
      <c r="D190" s="2">
        <v>1091</v>
      </c>
      <c r="E190" s="3">
        <v>24.79</v>
      </c>
    </row>
    <row r="191" spans="1:5" x14ac:dyDescent="0.2">
      <c r="A191" s="1">
        <v>46281</v>
      </c>
      <c r="B191" t="s">
        <v>5</v>
      </c>
      <c r="C191" t="s">
        <v>15</v>
      </c>
      <c r="D191" s="2">
        <v>2348</v>
      </c>
      <c r="E191" s="3">
        <v>33.82</v>
      </c>
    </row>
    <row r="192" spans="1:5" x14ac:dyDescent="0.2">
      <c r="A192" s="1">
        <v>46281</v>
      </c>
      <c r="B192" t="s">
        <v>5</v>
      </c>
      <c r="C192" t="s">
        <v>16</v>
      </c>
      <c r="D192" s="2">
        <v>2198</v>
      </c>
      <c r="E192" s="3">
        <v>45.27</v>
      </c>
    </row>
    <row r="193" spans="1:5" x14ac:dyDescent="0.2">
      <c r="A193" s="1">
        <v>46281</v>
      </c>
      <c r="B193" t="s">
        <v>5</v>
      </c>
      <c r="C193" t="s">
        <v>17</v>
      </c>
      <c r="D193" s="2">
        <v>2174</v>
      </c>
      <c r="E193" s="3">
        <v>98.91</v>
      </c>
    </row>
    <row r="194" spans="1:5" x14ac:dyDescent="0.2">
      <c r="A194" s="1">
        <v>46282</v>
      </c>
      <c r="B194" t="s">
        <v>5</v>
      </c>
      <c r="C194" t="s">
        <v>6</v>
      </c>
      <c r="D194" s="2">
        <v>12523</v>
      </c>
    </row>
    <row r="195" spans="1:5" x14ac:dyDescent="0.2">
      <c r="A195" s="1">
        <v>46282</v>
      </c>
      <c r="B195" t="s">
        <v>5</v>
      </c>
      <c r="C195" t="s">
        <v>7</v>
      </c>
      <c r="D195" s="2">
        <v>12263</v>
      </c>
      <c r="E195" s="3">
        <v>97.92</v>
      </c>
    </row>
    <row r="196" spans="1:5" x14ac:dyDescent="0.2">
      <c r="A196" s="1">
        <v>46282</v>
      </c>
      <c r="B196" t="s">
        <v>5</v>
      </c>
      <c r="C196" t="s">
        <v>8</v>
      </c>
      <c r="D196" s="2">
        <v>12182</v>
      </c>
      <c r="E196" s="3">
        <v>99.34</v>
      </c>
    </row>
    <row r="197" spans="1:5" x14ac:dyDescent="0.2">
      <c r="A197" s="1">
        <v>46282</v>
      </c>
      <c r="B197" t="s">
        <v>5</v>
      </c>
      <c r="C197" t="s">
        <v>9</v>
      </c>
      <c r="D197" s="2">
        <v>11579</v>
      </c>
      <c r="E197" s="3">
        <v>95.05</v>
      </c>
    </row>
    <row r="198" spans="1:5" x14ac:dyDescent="0.2">
      <c r="A198" s="1">
        <v>46282</v>
      </c>
      <c r="B198" t="s">
        <v>5</v>
      </c>
      <c r="C198" t="s">
        <v>10</v>
      </c>
      <c r="D198" s="2">
        <v>3184</v>
      </c>
      <c r="E198" s="3">
        <v>27.5</v>
      </c>
    </row>
    <row r="199" spans="1:5" x14ac:dyDescent="0.2">
      <c r="A199" s="1">
        <v>46282</v>
      </c>
      <c r="B199" t="s">
        <v>5</v>
      </c>
      <c r="C199" t="s">
        <v>11</v>
      </c>
      <c r="D199" s="2">
        <v>3180</v>
      </c>
      <c r="E199" s="3">
        <v>99.87</v>
      </c>
    </row>
    <row r="200" spans="1:5" x14ac:dyDescent="0.2">
      <c r="A200" s="1">
        <v>46282</v>
      </c>
      <c r="B200" t="s">
        <v>5</v>
      </c>
      <c r="C200" t="s">
        <v>12</v>
      </c>
      <c r="D200" s="2">
        <v>2239</v>
      </c>
      <c r="E200" s="3">
        <v>70.41</v>
      </c>
    </row>
    <row r="201" spans="1:5" x14ac:dyDescent="0.2">
      <c r="A201" s="1">
        <v>46282</v>
      </c>
      <c r="B201" t="s">
        <v>5</v>
      </c>
      <c r="C201" t="s">
        <v>13</v>
      </c>
      <c r="D201" s="2">
        <v>7520</v>
      </c>
    </row>
    <row r="202" spans="1:5" x14ac:dyDescent="0.2">
      <c r="A202" s="1">
        <v>46282</v>
      </c>
      <c r="B202" t="s">
        <v>5</v>
      </c>
      <c r="C202" t="s">
        <v>14</v>
      </c>
      <c r="D202" s="2">
        <v>1892</v>
      </c>
      <c r="E202" s="3">
        <v>25.16</v>
      </c>
    </row>
    <row r="203" spans="1:5" x14ac:dyDescent="0.2">
      <c r="A203" s="1">
        <v>46282</v>
      </c>
      <c r="B203" t="s">
        <v>5</v>
      </c>
      <c r="C203" t="s">
        <v>15</v>
      </c>
      <c r="D203" s="2">
        <v>4131</v>
      </c>
      <c r="E203" s="3">
        <v>33.909999999999997</v>
      </c>
    </row>
    <row r="204" spans="1:5" x14ac:dyDescent="0.2">
      <c r="A204" s="1">
        <v>46282</v>
      </c>
      <c r="B204" t="s">
        <v>5</v>
      </c>
      <c r="C204" t="s">
        <v>16</v>
      </c>
      <c r="D204" s="2">
        <v>4048</v>
      </c>
      <c r="E204" s="3">
        <v>33.21</v>
      </c>
    </row>
    <row r="205" spans="1:5" x14ac:dyDescent="0.2">
      <c r="A205" s="1">
        <v>46282</v>
      </c>
      <c r="B205" t="s">
        <v>5</v>
      </c>
      <c r="C205" t="s">
        <v>17</v>
      </c>
      <c r="D205" s="2">
        <v>4045</v>
      </c>
      <c r="E205" s="3">
        <v>99.93</v>
      </c>
    </row>
    <row r="206" spans="1:5" x14ac:dyDescent="0.2">
      <c r="A206" s="1">
        <v>46283</v>
      </c>
      <c r="B206" t="s">
        <v>5</v>
      </c>
      <c r="C206" t="s">
        <v>6</v>
      </c>
      <c r="D206" s="2">
        <v>14149</v>
      </c>
    </row>
    <row r="207" spans="1:5" x14ac:dyDescent="0.2">
      <c r="A207" s="1">
        <v>46283</v>
      </c>
      <c r="B207" t="s">
        <v>5</v>
      </c>
      <c r="C207" t="s">
        <v>7</v>
      </c>
      <c r="D207" s="2">
        <v>13849</v>
      </c>
      <c r="E207" s="3">
        <v>97.88</v>
      </c>
    </row>
    <row r="208" spans="1:5" x14ac:dyDescent="0.2">
      <c r="A208" s="1">
        <v>46283</v>
      </c>
      <c r="B208" t="s">
        <v>5</v>
      </c>
      <c r="C208" t="s">
        <v>8</v>
      </c>
      <c r="D208" s="2">
        <v>13778</v>
      </c>
      <c r="E208" s="3">
        <v>99.49</v>
      </c>
    </row>
    <row r="209" spans="1:5" x14ac:dyDescent="0.2">
      <c r="A209" s="1">
        <v>46283</v>
      </c>
      <c r="B209" t="s">
        <v>5</v>
      </c>
      <c r="C209" t="s">
        <v>9</v>
      </c>
      <c r="D209" s="2">
        <v>13040</v>
      </c>
      <c r="E209" s="3">
        <v>94.64</v>
      </c>
    </row>
    <row r="210" spans="1:5" x14ac:dyDescent="0.2">
      <c r="A210" s="1">
        <v>46283</v>
      </c>
      <c r="B210" t="s">
        <v>5</v>
      </c>
      <c r="C210" t="s">
        <v>10</v>
      </c>
      <c r="D210" s="2">
        <v>3391</v>
      </c>
      <c r="E210" s="2">
        <v>26</v>
      </c>
    </row>
    <row r="211" spans="1:5" x14ac:dyDescent="0.2">
      <c r="A211" s="1">
        <v>46283</v>
      </c>
      <c r="B211" t="s">
        <v>5</v>
      </c>
      <c r="C211" t="s">
        <v>11</v>
      </c>
      <c r="D211" s="2">
        <v>3388</v>
      </c>
      <c r="E211" s="3">
        <v>99.91</v>
      </c>
    </row>
    <row r="212" spans="1:5" x14ac:dyDescent="0.2">
      <c r="A212" s="1">
        <v>46283</v>
      </c>
      <c r="B212" t="s">
        <v>5</v>
      </c>
      <c r="C212" t="s">
        <v>12</v>
      </c>
      <c r="D212" s="2">
        <v>2294</v>
      </c>
      <c r="E212" s="3">
        <v>67.709999999999994</v>
      </c>
    </row>
    <row r="213" spans="1:5" x14ac:dyDescent="0.2">
      <c r="A213" s="1">
        <v>46283</v>
      </c>
      <c r="B213" t="s">
        <v>5</v>
      </c>
      <c r="C213" t="s">
        <v>13</v>
      </c>
      <c r="D213" s="2">
        <v>8526</v>
      </c>
    </row>
    <row r="214" spans="1:5" x14ac:dyDescent="0.2">
      <c r="A214" s="1">
        <v>46283</v>
      </c>
      <c r="B214" t="s">
        <v>5</v>
      </c>
      <c r="C214" t="s">
        <v>14</v>
      </c>
      <c r="D214" s="2">
        <v>1968</v>
      </c>
      <c r="E214" s="3">
        <v>23.08</v>
      </c>
    </row>
    <row r="215" spans="1:5" x14ac:dyDescent="0.2">
      <c r="A215" s="1">
        <v>46283</v>
      </c>
      <c r="B215" t="s">
        <v>5</v>
      </c>
      <c r="C215" t="s">
        <v>15</v>
      </c>
      <c r="D215" s="2">
        <v>4262</v>
      </c>
      <c r="E215" s="3">
        <v>30.93</v>
      </c>
    </row>
    <row r="216" spans="1:5" x14ac:dyDescent="0.2">
      <c r="A216" s="1">
        <v>46283</v>
      </c>
      <c r="B216" t="s">
        <v>5</v>
      </c>
      <c r="C216" t="s">
        <v>16</v>
      </c>
      <c r="D216" s="2">
        <v>4174</v>
      </c>
      <c r="E216" s="3">
        <v>30.27</v>
      </c>
    </row>
    <row r="217" spans="1:5" x14ac:dyDescent="0.2">
      <c r="A217" s="1">
        <v>46283</v>
      </c>
      <c r="B217" t="s">
        <v>5</v>
      </c>
      <c r="C217" t="s">
        <v>17</v>
      </c>
      <c r="D217" s="2">
        <v>4169</v>
      </c>
      <c r="E217" s="3">
        <v>99.88</v>
      </c>
    </row>
    <row r="218" spans="1:5" x14ac:dyDescent="0.2">
      <c r="A218" s="1">
        <v>46284</v>
      </c>
      <c r="B218" t="s">
        <v>5</v>
      </c>
      <c r="C218" t="s">
        <v>6</v>
      </c>
      <c r="D218" s="2">
        <v>17637</v>
      </c>
    </row>
    <row r="219" spans="1:5" x14ac:dyDescent="0.2">
      <c r="A219" s="1">
        <v>46284</v>
      </c>
      <c r="B219" t="s">
        <v>5</v>
      </c>
      <c r="C219" t="s">
        <v>7</v>
      </c>
      <c r="D219" s="2">
        <v>17302</v>
      </c>
      <c r="E219" s="3">
        <v>98.1</v>
      </c>
    </row>
    <row r="220" spans="1:5" x14ac:dyDescent="0.2">
      <c r="A220" s="1">
        <v>46284</v>
      </c>
      <c r="B220" t="s">
        <v>5</v>
      </c>
      <c r="C220" t="s">
        <v>8</v>
      </c>
      <c r="D220" s="2">
        <v>17203</v>
      </c>
      <c r="E220" s="3">
        <v>99.43</v>
      </c>
    </row>
    <row r="221" spans="1:5" x14ac:dyDescent="0.2">
      <c r="A221" s="1">
        <v>46284</v>
      </c>
      <c r="B221" t="s">
        <v>5</v>
      </c>
      <c r="C221" t="s">
        <v>9</v>
      </c>
      <c r="D221" s="2">
        <v>16264</v>
      </c>
      <c r="E221" s="3">
        <v>94.54</v>
      </c>
    </row>
    <row r="222" spans="1:5" x14ac:dyDescent="0.2">
      <c r="A222" s="1">
        <v>46284</v>
      </c>
      <c r="B222" t="s">
        <v>5</v>
      </c>
      <c r="C222" t="s">
        <v>10</v>
      </c>
      <c r="D222" s="2">
        <v>3631</v>
      </c>
      <c r="E222" s="3">
        <v>22.33</v>
      </c>
    </row>
    <row r="223" spans="1:5" x14ac:dyDescent="0.2">
      <c r="A223" s="1">
        <v>46284</v>
      </c>
      <c r="B223" t="s">
        <v>5</v>
      </c>
      <c r="C223" t="s">
        <v>11</v>
      </c>
      <c r="D223" s="2">
        <v>3627</v>
      </c>
      <c r="E223" s="3">
        <v>99.89</v>
      </c>
    </row>
    <row r="224" spans="1:5" x14ac:dyDescent="0.2">
      <c r="A224" s="1">
        <v>46284</v>
      </c>
      <c r="B224" t="s">
        <v>5</v>
      </c>
      <c r="C224" t="s">
        <v>12</v>
      </c>
      <c r="D224" s="2">
        <v>2269</v>
      </c>
      <c r="E224" s="3">
        <v>62.56</v>
      </c>
    </row>
    <row r="225" spans="1:5" x14ac:dyDescent="0.2">
      <c r="A225" s="1">
        <v>46284</v>
      </c>
      <c r="B225" t="s">
        <v>5</v>
      </c>
      <c r="C225" t="s">
        <v>13</v>
      </c>
      <c r="D225" s="2">
        <v>11213</v>
      </c>
    </row>
    <row r="226" spans="1:5" x14ac:dyDescent="0.2">
      <c r="A226" s="1">
        <v>46284</v>
      </c>
      <c r="B226" t="s">
        <v>5</v>
      </c>
      <c r="C226" t="s">
        <v>14</v>
      </c>
      <c r="D226" s="2">
        <v>2249</v>
      </c>
      <c r="E226" s="3">
        <v>20.059999999999999</v>
      </c>
    </row>
    <row r="227" spans="1:5" x14ac:dyDescent="0.2">
      <c r="A227" s="1">
        <v>46284</v>
      </c>
      <c r="B227" t="s">
        <v>5</v>
      </c>
      <c r="C227" t="s">
        <v>15</v>
      </c>
      <c r="D227" s="2">
        <v>4518</v>
      </c>
      <c r="E227" s="3">
        <v>26.26</v>
      </c>
    </row>
    <row r="228" spans="1:5" x14ac:dyDescent="0.2">
      <c r="A228" s="1">
        <v>46284</v>
      </c>
      <c r="B228" t="s">
        <v>5</v>
      </c>
      <c r="C228" t="s">
        <v>16</v>
      </c>
      <c r="D228" s="2">
        <v>4439</v>
      </c>
      <c r="E228" s="3">
        <v>25.78</v>
      </c>
    </row>
    <row r="229" spans="1:5" x14ac:dyDescent="0.2">
      <c r="A229" s="1">
        <v>46284</v>
      </c>
      <c r="B229" t="s">
        <v>5</v>
      </c>
      <c r="C229" t="s">
        <v>17</v>
      </c>
      <c r="D229" s="2">
        <v>4435</v>
      </c>
      <c r="E229" s="3">
        <v>99.91</v>
      </c>
    </row>
    <row r="230" spans="1:5" x14ac:dyDescent="0.2">
      <c r="A230" s="1">
        <v>46285</v>
      </c>
      <c r="B230" t="s">
        <v>5</v>
      </c>
      <c r="C230" t="s">
        <v>6</v>
      </c>
      <c r="D230" s="2">
        <v>16906</v>
      </c>
    </row>
    <row r="231" spans="1:5" x14ac:dyDescent="0.2">
      <c r="A231" s="1">
        <v>46285</v>
      </c>
      <c r="B231" t="s">
        <v>5</v>
      </c>
      <c r="C231" t="s">
        <v>7</v>
      </c>
      <c r="D231" s="2">
        <v>16528</v>
      </c>
      <c r="E231" s="3">
        <v>97.76</v>
      </c>
    </row>
    <row r="232" spans="1:5" x14ac:dyDescent="0.2">
      <c r="A232" s="1">
        <v>46285</v>
      </c>
      <c r="B232" t="s">
        <v>5</v>
      </c>
      <c r="C232" t="s">
        <v>8</v>
      </c>
      <c r="D232" s="2">
        <v>16368</v>
      </c>
      <c r="E232" s="3">
        <v>99.03</v>
      </c>
    </row>
    <row r="233" spans="1:5" x14ac:dyDescent="0.2">
      <c r="A233" s="1">
        <v>46285</v>
      </c>
      <c r="B233" t="s">
        <v>5</v>
      </c>
      <c r="C233" t="s">
        <v>9</v>
      </c>
      <c r="D233" s="2">
        <v>15529</v>
      </c>
      <c r="E233" s="3">
        <v>94.87</v>
      </c>
    </row>
    <row r="234" spans="1:5" x14ac:dyDescent="0.2">
      <c r="A234" s="1">
        <v>46285</v>
      </c>
      <c r="B234" t="s">
        <v>5</v>
      </c>
      <c r="C234" t="s">
        <v>10</v>
      </c>
      <c r="D234" s="2">
        <v>3544</v>
      </c>
      <c r="E234" s="3">
        <v>22.82</v>
      </c>
    </row>
    <row r="235" spans="1:5" x14ac:dyDescent="0.2">
      <c r="A235" s="1">
        <v>46285</v>
      </c>
      <c r="B235" t="s">
        <v>5</v>
      </c>
      <c r="C235" t="s">
        <v>11</v>
      </c>
      <c r="D235" s="2">
        <v>3541</v>
      </c>
      <c r="E235" s="3">
        <v>99.92</v>
      </c>
    </row>
    <row r="236" spans="1:5" x14ac:dyDescent="0.2">
      <c r="A236" s="1">
        <v>46285</v>
      </c>
      <c r="B236" t="s">
        <v>5</v>
      </c>
      <c r="C236" t="s">
        <v>12</v>
      </c>
      <c r="D236" s="2">
        <v>2208</v>
      </c>
      <c r="E236" s="3">
        <v>62.36</v>
      </c>
    </row>
    <row r="237" spans="1:5" x14ac:dyDescent="0.2">
      <c r="A237" s="1">
        <v>46285</v>
      </c>
      <c r="B237" t="s">
        <v>5</v>
      </c>
      <c r="C237" t="s">
        <v>13</v>
      </c>
      <c r="D237" s="2">
        <v>10724</v>
      </c>
    </row>
    <row r="238" spans="1:5" x14ac:dyDescent="0.2">
      <c r="A238" s="1">
        <v>46285</v>
      </c>
      <c r="B238" t="s">
        <v>5</v>
      </c>
      <c r="C238" t="s">
        <v>14</v>
      </c>
      <c r="D238" s="2">
        <v>2092</v>
      </c>
      <c r="E238" s="3">
        <v>19.510000000000002</v>
      </c>
    </row>
    <row r="239" spans="1:5" x14ac:dyDescent="0.2">
      <c r="A239" s="1">
        <v>46285</v>
      </c>
      <c r="B239" t="s">
        <v>5</v>
      </c>
      <c r="C239" t="s">
        <v>15</v>
      </c>
      <c r="D239" s="2">
        <v>4300</v>
      </c>
      <c r="E239" s="3">
        <v>26.27</v>
      </c>
    </row>
    <row r="240" spans="1:5" x14ac:dyDescent="0.2">
      <c r="A240" s="1">
        <v>46285</v>
      </c>
      <c r="B240" t="s">
        <v>5</v>
      </c>
      <c r="C240" t="s">
        <v>16</v>
      </c>
      <c r="D240" s="2">
        <v>4187</v>
      </c>
      <c r="E240" s="3">
        <v>25.56</v>
      </c>
    </row>
    <row r="241" spans="1:5" x14ac:dyDescent="0.2">
      <c r="A241" s="1">
        <v>46285</v>
      </c>
      <c r="B241" t="s">
        <v>5</v>
      </c>
      <c r="C241" t="s">
        <v>17</v>
      </c>
      <c r="D241" s="2">
        <v>4184</v>
      </c>
      <c r="E241" s="3">
        <v>99.93</v>
      </c>
    </row>
    <row r="242" spans="1:5" x14ac:dyDescent="0.2">
      <c r="A242" s="1">
        <v>46286</v>
      </c>
      <c r="B242" t="s">
        <v>5</v>
      </c>
      <c r="C242" t="s">
        <v>6</v>
      </c>
      <c r="D242" s="2">
        <v>14366</v>
      </c>
    </row>
    <row r="243" spans="1:5" x14ac:dyDescent="0.2">
      <c r="A243" s="1">
        <v>46286</v>
      </c>
      <c r="B243" t="s">
        <v>5</v>
      </c>
      <c r="C243" t="s">
        <v>7</v>
      </c>
      <c r="D243" s="2">
        <v>14030</v>
      </c>
      <c r="E243" s="3">
        <v>97.66</v>
      </c>
    </row>
    <row r="244" spans="1:5" x14ac:dyDescent="0.2">
      <c r="A244" s="1">
        <v>46286</v>
      </c>
      <c r="B244" t="s">
        <v>5</v>
      </c>
      <c r="C244" t="s">
        <v>8</v>
      </c>
      <c r="D244" s="2">
        <v>13963</v>
      </c>
      <c r="E244" s="3">
        <v>99.52</v>
      </c>
    </row>
    <row r="245" spans="1:5" x14ac:dyDescent="0.2">
      <c r="A245" s="1">
        <v>46286</v>
      </c>
      <c r="B245" t="s">
        <v>5</v>
      </c>
      <c r="C245" t="s">
        <v>9</v>
      </c>
      <c r="D245" s="2">
        <v>13136</v>
      </c>
      <c r="E245" s="3">
        <v>94.08</v>
      </c>
    </row>
    <row r="246" spans="1:5" x14ac:dyDescent="0.2">
      <c r="A246" s="1">
        <v>46286</v>
      </c>
      <c r="B246" t="s">
        <v>5</v>
      </c>
      <c r="C246" t="s">
        <v>10</v>
      </c>
      <c r="D246" s="2">
        <v>3438</v>
      </c>
      <c r="E246" s="3">
        <v>26.17</v>
      </c>
    </row>
    <row r="247" spans="1:5" x14ac:dyDescent="0.2">
      <c r="A247" s="1">
        <v>46286</v>
      </c>
      <c r="B247" t="s">
        <v>5</v>
      </c>
      <c r="C247" t="s">
        <v>11</v>
      </c>
      <c r="D247" s="2">
        <v>3435</v>
      </c>
      <c r="E247" s="3">
        <v>99.91</v>
      </c>
    </row>
    <row r="248" spans="1:5" x14ac:dyDescent="0.2">
      <c r="A248" s="1">
        <v>46286</v>
      </c>
      <c r="B248" t="s">
        <v>5</v>
      </c>
      <c r="C248" t="s">
        <v>12</v>
      </c>
      <c r="D248" s="2">
        <v>2250</v>
      </c>
      <c r="E248" s="3">
        <v>65.5</v>
      </c>
    </row>
    <row r="249" spans="1:5" x14ac:dyDescent="0.2">
      <c r="A249" s="1">
        <v>46286</v>
      </c>
      <c r="B249" t="s">
        <v>5</v>
      </c>
      <c r="C249" t="s">
        <v>13</v>
      </c>
      <c r="D249" s="2">
        <v>8532</v>
      </c>
    </row>
    <row r="250" spans="1:5" x14ac:dyDescent="0.2">
      <c r="A250" s="1">
        <v>46286</v>
      </c>
      <c r="B250" t="s">
        <v>5</v>
      </c>
      <c r="C250" t="s">
        <v>14</v>
      </c>
      <c r="D250" s="2">
        <v>1748</v>
      </c>
      <c r="E250" s="3">
        <v>20.49</v>
      </c>
    </row>
    <row r="251" spans="1:5" x14ac:dyDescent="0.2">
      <c r="A251" s="1">
        <v>46286</v>
      </c>
      <c r="B251" t="s">
        <v>5</v>
      </c>
      <c r="C251" t="s">
        <v>15</v>
      </c>
      <c r="D251" s="2">
        <v>3998</v>
      </c>
      <c r="E251" s="3">
        <v>28.63</v>
      </c>
    </row>
    <row r="252" spans="1:5" x14ac:dyDescent="0.2">
      <c r="A252" s="1">
        <v>46286</v>
      </c>
      <c r="B252" t="s">
        <v>5</v>
      </c>
      <c r="C252" t="s">
        <v>16</v>
      </c>
      <c r="D252" s="2">
        <v>3899</v>
      </c>
      <c r="E252" s="3">
        <v>27.92</v>
      </c>
    </row>
    <row r="253" spans="1:5" x14ac:dyDescent="0.2">
      <c r="A253" s="1">
        <v>46286</v>
      </c>
      <c r="B253" t="s">
        <v>5</v>
      </c>
      <c r="C253" t="s">
        <v>17</v>
      </c>
      <c r="D253" s="2">
        <v>3892</v>
      </c>
      <c r="E253" s="3">
        <v>99.82</v>
      </c>
    </row>
    <row r="254" spans="1:5" x14ac:dyDescent="0.2">
      <c r="B254" t="s">
        <v>18</v>
      </c>
      <c r="C254" t="s">
        <v>6</v>
      </c>
      <c r="D254" s="2">
        <v>177733</v>
      </c>
    </row>
    <row r="255" spans="1:5" x14ac:dyDescent="0.2">
      <c r="B255" t="s">
        <v>18</v>
      </c>
      <c r="C255" t="s">
        <v>7</v>
      </c>
      <c r="D255" s="2">
        <v>172715</v>
      </c>
      <c r="E255" s="3">
        <v>97.18</v>
      </c>
    </row>
    <row r="256" spans="1:5" x14ac:dyDescent="0.2">
      <c r="B256" t="s">
        <v>18</v>
      </c>
      <c r="C256" t="s">
        <v>8</v>
      </c>
      <c r="D256" s="2">
        <v>172097</v>
      </c>
      <c r="E256" s="3">
        <v>99.64</v>
      </c>
    </row>
    <row r="257" spans="2:6" x14ac:dyDescent="0.2">
      <c r="B257" t="s">
        <v>18</v>
      </c>
      <c r="C257" t="s">
        <v>9</v>
      </c>
      <c r="D257" s="2">
        <v>163688</v>
      </c>
      <c r="E257" s="3">
        <v>95.11</v>
      </c>
    </row>
    <row r="258" spans="2:6" x14ac:dyDescent="0.2">
      <c r="B258" t="s">
        <v>18</v>
      </c>
      <c r="C258" t="s">
        <v>10</v>
      </c>
      <c r="D258" s="2">
        <v>43509</v>
      </c>
      <c r="E258" s="3">
        <v>26.58</v>
      </c>
    </row>
    <row r="259" spans="2:6" x14ac:dyDescent="0.2">
      <c r="B259" t="s">
        <v>18</v>
      </c>
      <c r="C259" t="s">
        <v>11</v>
      </c>
      <c r="D259" s="2">
        <v>43461</v>
      </c>
      <c r="E259" s="3">
        <v>99.89</v>
      </c>
    </row>
    <row r="260" spans="2:6" x14ac:dyDescent="0.2">
      <c r="B260" t="s">
        <v>18</v>
      </c>
      <c r="C260" t="s">
        <v>12</v>
      </c>
      <c r="D260" s="2">
        <v>29763</v>
      </c>
      <c r="E260" s="3">
        <v>68.48</v>
      </c>
    </row>
    <row r="261" spans="2:6" x14ac:dyDescent="0.2">
      <c r="B261" t="s">
        <v>18</v>
      </c>
      <c r="C261" t="s">
        <v>13</v>
      </c>
      <c r="D261" s="2">
        <v>108597</v>
      </c>
    </row>
    <row r="262" spans="2:6" x14ac:dyDescent="0.2">
      <c r="B262" t="s">
        <v>18</v>
      </c>
      <c r="C262" t="s">
        <v>14</v>
      </c>
      <c r="D262" s="2">
        <v>26108</v>
      </c>
      <c r="E262" s="3">
        <v>24.04</v>
      </c>
    </row>
    <row r="263" spans="2:6" x14ac:dyDescent="0.2">
      <c r="B263" t="s">
        <v>18</v>
      </c>
      <c r="C263" t="s">
        <v>15</v>
      </c>
      <c r="D263" s="2">
        <v>55871</v>
      </c>
      <c r="E263" s="3">
        <v>32.46</v>
      </c>
      <c r="F263">
        <f>D263/D254</f>
        <v>0.31435355280111177</v>
      </c>
    </row>
    <row r="264" spans="2:6" x14ac:dyDescent="0.2">
      <c r="B264" t="s">
        <v>18</v>
      </c>
      <c r="C264" t="s">
        <v>16</v>
      </c>
      <c r="D264" s="2">
        <v>52641</v>
      </c>
      <c r="E264" s="3">
        <v>43.51</v>
      </c>
    </row>
    <row r="265" spans="2:6" x14ac:dyDescent="0.2">
      <c r="B265" t="s">
        <v>18</v>
      </c>
      <c r="C265" t="s">
        <v>17</v>
      </c>
      <c r="D265" s="2">
        <v>52309</v>
      </c>
      <c r="E265" s="3">
        <v>99.37</v>
      </c>
    </row>
  </sheetData>
  <autoFilter ref="A1:E265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1A009-98AF-4D47-9F23-77DE0DF8012F}">
  <dimension ref="A1:AL23"/>
  <sheetViews>
    <sheetView zoomScale="137" workbookViewId="0">
      <pane xSplit="1" topLeftCell="G1" activePane="topRight" state="frozen"/>
      <selection pane="topRight" activeCell="J3" sqref="J3"/>
    </sheetView>
  </sheetViews>
  <sheetFormatPr baseColWidth="10" defaultRowHeight="15" x14ac:dyDescent="0.2"/>
  <cols>
    <col min="1" max="1" width="16.5" bestFit="1" customWidth="1"/>
    <col min="2" max="2" width="30.33203125" bestFit="1" customWidth="1"/>
    <col min="3" max="3" width="16.83203125" bestFit="1" customWidth="1"/>
    <col min="4" max="4" width="16.83203125" style="7" customWidth="1"/>
    <col min="5" max="5" width="36.6640625" bestFit="1" customWidth="1"/>
    <col min="6" max="6" width="14.6640625" bestFit="1" customWidth="1"/>
    <col min="7" max="7" width="35.83203125" bestFit="1" customWidth="1"/>
    <col min="8" max="8" width="10.5" bestFit="1" customWidth="1"/>
    <col min="9" max="9" width="25.5" style="27" bestFit="1" customWidth="1"/>
    <col min="10" max="10" width="25.5" style="29" customWidth="1"/>
    <col min="11" max="11" width="29.6640625" bestFit="1" customWidth="1"/>
    <col min="12" max="12" width="16" bestFit="1" customWidth="1"/>
    <col min="13" max="13" width="22.83203125" bestFit="1" customWidth="1"/>
    <col min="14" max="14" width="17.5" bestFit="1" customWidth="1"/>
    <col min="15" max="15" width="19.6640625" bestFit="1" customWidth="1"/>
    <col min="16" max="16" width="18.5" bestFit="1" customWidth="1"/>
    <col min="17" max="17" width="25.6640625" bestFit="1" customWidth="1"/>
    <col min="18" max="18" width="20.5" bestFit="1" customWidth="1"/>
    <col min="19" max="19" width="11.5" bestFit="1" customWidth="1"/>
    <col min="20" max="20" width="11.5" style="27" customWidth="1"/>
    <col min="21" max="21" width="18" bestFit="1" customWidth="1"/>
    <col min="22" max="22" width="11.33203125" bestFit="1" customWidth="1"/>
    <col min="23" max="23" width="11.33203125" style="7" customWidth="1"/>
    <col min="24" max="24" width="17.83203125" bestFit="1" customWidth="1"/>
    <col min="25" max="25" width="14.6640625" bestFit="1" customWidth="1"/>
    <col min="26" max="26" width="21.1640625" bestFit="1" customWidth="1"/>
    <col min="27" max="27" width="28.5" bestFit="1" customWidth="1"/>
    <col min="28" max="28" width="18.1640625" bestFit="1" customWidth="1"/>
    <col min="29" max="29" width="24.6640625" bestFit="1" customWidth="1"/>
    <col min="30" max="30" width="17.6640625" bestFit="1" customWidth="1"/>
    <col min="31" max="31" width="12.5" bestFit="1" customWidth="1"/>
    <col min="32" max="32" width="12.33203125" bestFit="1" customWidth="1"/>
    <col min="33" max="33" width="10.5" bestFit="1" customWidth="1"/>
    <col min="34" max="34" width="17" bestFit="1" customWidth="1"/>
    <col min="35" max="35" width="15.33203125" bestFit="1" customWidth="1"/>
    <col min="36" max="36" width="15.5" bestFit="1" customWidth="1"/>
    <col min="37" max="37" width="11.1640625" bestFit="1" customWidth="1"/>
    <col min="38" max="38" width="17.6640625" bestFit="1" customWidth="1"/>
  </cols>
  <sheetData>
    <row r="1" spans="1:38" x14ac:dyDescent="0.2">
      <c r="A1" s="16" t="s">
        <v>19</v>
      </c>
      <c r="B1" s="16" t="s">
        <v>20</v>
      </c>
      <c r="C1" s="16" t="s">
        <v>21</v>
      </c>
      <c r="D1" s="17" t="s">
        <v>54</v>
      </c>
      <c r="E1" s="16" t="s">
        <v>22</v>
      </c>
      <c r="F1" s="16" t="s">
        <v>23</v>
      </c>
      <c r="G1" s="16" t="s">
        <v>24</v>
      </c>
      <c r="H1" s="16" t="s">
        <v>25</v>
      </c>
      <c r="I1" s="26" t="s">
        <v>26</v>
      </c>
      <c r="J1" s="28"/>
      <c r="K1" s="16" t="s">
        <v>27</v>
      </c>
      <c r="L1" s="16" t="s">
        <v>28</v>
      </c>
      <c r="M1" s="16" t="s">
        <v>29</v>
      </c>
      <c r="N1" s="16" t="s">
        <v>30</v>
      </c>
      <c r="O1" s="16" t="s">
        <v>31</v>
      </c>
      <c r="P1" s="16" t="s">
        <v>32</v>
      </c>
      <c r="Q1" s="16" t="s">
        <v>33</v>
      </c>
      <c r="R1" s="16" t="s">
        <v>34</v>
      </c>
      <c r="S1" s="16" t="s">
        <v>35</v>
      </c>
      <c r="T1" s="23"/>
      <c r="U1" s="10" t="s">
        <v>36</v>
      </c>
      <c r="V1" s="10" t="s">
        <v>37</v>
      </c>
      <c r="W1" s="11"/>
      <c r="X1" s="10" t="s">
        <v>38</v>
      </c>
      <c r="Y1" s="10" t="s">
        <v>39</v>
      </c>
      <c r="Z1" s="10" t="s">
        <v>40</v>
      </c>
      <c r="AA1" s="10" t="s">
        <v>41</v>
      </c>
      <c r="AB1" s="10" t="s">
        <v>42</v>
      </c>
      <c r="AC1" s="10" t="s">
        <v>43</v>
      </c>
      <c r="AD1" s="10" t="s">
        <v>44</v>
      </c>
      <c r="AE1" s="10" t="s">
        <v>45</v>
      </c>
      <c r="AF1" s="10" t="s">
        <v>46</v>
      </c>
      <c r="AG1" s="10" t="s">
        <v>47</v>
      </c>
      <c r="AH1" s="10" t="s">
        <v>48</v>
      </c>
      <c r="AI1" s="10" t="s">
        <v>49</v>
      </c>
      <c r="AJ1" s="10" t="s">
        <v>50</v>
      </c>
      <c r="AK1" s="10" t="s">
        <v>51</v>
      </c>
      <c r="AL1" s="10" t="s">
        <v>52</v>
      </c>
    </row>
    <row r="2" spans="1:38" x14ac:dyDescent="0.2">
      <c r="A2" s="18">
        <v>46266</v>
      </c>
      <c r="B2" s="12">
        <v>1999</v>
      </c>
      <c r="C2" s="12">
        <v>1599</v>
      </c>
      <c r="D2" s="11">
        <f>C2/B2</f>
        <v>0.79989994997498748</v>
      </c>
      <c r="E2" s="12">
        <v>940</v>
      </c>
      <c r="F2" s="12">
        <v>496</v>
      </c>
      <c r="G2" s="12">
        <v>420</v>
      </c>
      <c r="H2" s="12">
        <v>496</v>
      </c>
      <c r="I2" s="24">
        <v>76</v>
      </c>
      <c r="J2" s="25">
        <f>I2/C2</f>
        <v>4.7529706066291436E-2</v>
      </c>
      <c r="K2" s="12">
        <v>74</v>
      </c>
      <c r="L2" s="12">
        <v>1040</v>
      </c>
      <c r="M2" s="12">
        <v>1036</v>
      </c>
      <c r="N2" s="12">
        <v>1036</v>
      </c>
      <c r="O2" s="12">
        <v>389</v>
      </c>
      <c r="P2" s="12">
        <v>284</v>
      </c>
      <c r="Q2" s="12">
        <v>396</v>
      </c>
      <c r="R2" s="12">
        <v>388</v>
      </c>
      <c r="S2" s="12">
        <v>280</v>
      </c>
      <c r="T2" s="25">
        <f>S2/L2</f>
        <v>0.26923076923076922</v>
      </c>
      <c r="U2" s="19">
        <v>14.007003501750875</v>
      </c>
      <c r="V2" s="12">
        <v>348</v>
      </c>
      <c r="W2" s="11">
        <f>V2/H2</f>
        <v>0.70161290322580649</v>
      </c>
      <c r="X2" s="19">
        <v>17.408704352176088</v>
      </c>
      <c r="Y2" s="12">
        <v>628</v>
      </c>
      <c r="Z2" s="19">
        <v>31.415707853926964</v>
      </c>
      <c r="AA2" s="12">
        <v>0</v>
      </c>
      <c r="AB2" s="12">
        <v>312</v>
      </c>
      <c r="AC2" s="19">
        <v>86.9080810546875</v>
      </c>
      <c r="AD2" s="12">
        <v>47</v>
      </c>
      <c r="AE2" s="12">
        <v>0</v>
      </c>
      <c r="AF2" s="12">
        <v>922</v>
      </c>
      <c r="AG2" s="12">
        <v>39</v>
      </c>
      <c r="AH2" s="19">
        <v>6.2101912498474121</v>
      </c>
      <c r="AI2" s="12">
        <v>306</v>
      </c>
      <c r="AJ2" s="12">
        <v>260</v>
      </c>
      <c r="AK2" s="12">
        <v>566</v>
      </c>
      <c r="AL2" s="19">
        <v>28.314157078539271</v>
      </c>
    </row>
    <row r="3" spans="1:38" x14ac:dyDescent="0.2">
      <c r="A3" s="18">
        <v>46267</v>
      </c>
      <c r="B3" s="12">
        <v>2235</v>
      </c>
      <c r="C3" s="12">
        <v>2020</v>
      </c>
      <c r="D3" s="11">
        <f t="shared" ref="D3:D22" si="0">C3/B3</f>
        <v>0.90380313199105144</v>
      </c>
      <c r="E3" s="12">
        <v>1160</v>
      </c>
      <c r="F3" s="12">
        <v>680</v>
      </c>
      <c r="G3" s="12">
        <v>570</v>
      </c>
      <c r="H3" s="12">
        <v>679</v>
      </c>
      <c r="I3" s="24">
        <v>109</v>
      </c>
      <c r="J3" s="25">
        <f t="shared" ref="J3:J22" si="1">I3/C3</f>
        <v>5.396039603960396E-2</v>
      </c>
      <c r="K3" s="12">
        <v>109</v>
      </c>
      <c r="L3" s="12">
        <v>1298</v>
      </c>
      <c r="M3" s="12">
        <v>1287</v>
      </c>
      <c r="N3" s="12">
        <v>1287</v>
      </c>
      <c r="O3" s="12">
        <v>406</v>
      </c>
      <c r="P3" s="12">
        <v>296</v>
      </c>
      <c r="Q3" s="12">
        <v>422</v>
      </c>
      <c r="R3" s="12">
        <v>402</v>
      </c>
      <c r="S3" s="12">
        <v>308</v>
      </c>
      <c r="T3" s="25">
        <f t="shared" ref="T3:T22" si="2">S3/L3</f>
        <v>0.23728813559322035</v>
      </c>
      <c r="U3" s="19">
        <v>13.780760626398211</v>
      </c>
      <c r="V3" s="12">
        <v>462</v>
      </c>
      <c r="W3" s="11">
        <f t="shared" ref="W3:W22" si="3">V3/H3</f>
        <v>0.68041237113402064</v>
      </c>
      <c r="X3" s="19">
        <v>20.671140939597315</v>
      </c>
      <c r="Y3" s="12">
        <v>770</v>
      </c>
      <c r="Z3" s="19">
        <v>34.451901565995527</v>
      </c>
      <c r="AA3" s="12">
        <v>0</v>
      </c>
      <c r="AB3" s="12">
        <v>328</v>
      </c>
      <c r="AC3" s="19">
        <v>87.234039306640625</v>
      </c>
      <c r="AD3" s="12">
        <v>48</v>
      </c>
      <c r="AE3" s="12">
        <v>0</v>
      </c>
      <c r="AF3" s="12">
        <v>1155</v>
      </c>
      <c r="AG3" s="12">
        <v>60</v>
      </c>
      <c r="AH3" s="19">
        <v>7.7922077178955078</v>
      </c>
      <c r="AI3" s="12">
        <v>397</v>
      </c>
      <c r="AJ3" s="12">
        <v>273</v>
      </c>
      <c r="AK3" s="12">
        <v>670</v>
      </c>
      <c r="AL3" s="19">
        <v>29.977628635346758</v>
      </c>
    </row>
    <row r="4" spans="1:38" x14ac:dyDescent="0.2">
      <c r="A4" s="18">
        <v>46268</v>
      </c>
      <c r="B4" s="12">
        <v>2079</v>
      </c>
      <c r="C4" s="12">
        <v>1848</v>
      </c>
      <c r="D4" s="11">
        <f t="shared" si="0"/>
        <v>0.88888888888888884</v>
      </c>
      <c r="E4" s="12">
        <v>1100</v>
      </c>
      <c r="F4" s="12">
        <v>552</v>
      </c>
      <c r="G4" s="12">
        <v>459</v>
      </c>
      <c r="H4" s="12">
        <v>551</v>
      </c>
      <c r="I4" s="24">
        <v>92</v>
      </c>
      <c r="J4" s="25">
        <f t="shared" si="1"/>
        <v>4.9783549783549784E-2</v>
      </c>
      <c r="K4" s="12">
        <v>86</v>
      </c>
      <c r="L4" s="12">
        <v>1212</v>
      </c>
      <c r="M4" s="12">
        <v>1203</v>
      </c>
      <c r="N4" s="12">
        <v>1203</v>
      </c>
      <c r="O4" s="12">
        <v>407</v>
      </c>
      <c r="P4" s="12">
        <v>315</v>
      </c>
      <c r="Q4" s="12">
        <v>415</v>
      </c>
      <c r="R4" s="12">
        <v>405</v>
      </c>
      <c r="S4" s="12">
        <v>312</v>
      </c>
      <c r="T4" s="25">
        <f t="shared" si="2"/>
        <v>0.25742574257425743</v>
      </c>
      <c r="U4" s="19">
        <v>15.007215007215008</v>
      </c>
      <c r="V4" s="12">
        <v>374</v>
      </c>
      <c r="W4" s="11">
        <f t="shared" si="3"/>
        <v>0.67876588021778583</v>
      </c>
      <c r="X4" s="19">
        <v>17.989417989417991</v>
      </c>
      <c r="Y4" s="12">
        <v>686</v>
      </c>
      <c r="Z4" s="12">
        <v>32.996632996632997</v>
      </c>
      <c r="AA4" s="12">
        <v>0</v>
      </c>
      <c r="AB4" s="12">
        <v>346</v>
      </c>
      <c r="AC4" s="19">
        <v>90.104164123535156</v>
      </c>
      <c r="AD4" s="12">
        <v>38</v>
      </c>
      <c r="AE4" s="12">
        <v>0</v>
      </c>
      <c r="AF4" s="12">
        <v>1090</v>
      </c>
      <c r="AG4" s="12">
        <v>45</v>
      </c>
      <c r="AH4" s="19">
        <v>6.5597667694091797</v>
      </c>
      <c r="AI4" s="12">
        <v>326</v>
      </c>
      <c r="AJ4" s="12">
        <v>292</v>
      </c>
      <c r="AK4" s="12">
        <v>618</v>
      </c>
      <c r="AL4" s="19">
        <v>29.725829725829726</v>
      </c>
    </row>
    <row r="5" spans="1:38" x14ac:dyDescent="0.2">
      <c r="A5" s="18">
        <v>46269</v>
      </c>
      <c r="B5" s="12">
        <v>6903</v>
      </c>
      <c r="C5" s="12">
        <v>6261</v>
      </c>
      <c r="D5" s="11">
        <f t="shared" si="0"/>
        <v>0.90699695784441547</v>
      </c>
      <c r="E5" s="12">
        <v>4446</v>
      </c>
      <c r="F5" s="12">
        <v>1045</v>
      </c>
      <c r="G5" s="12">
        <v>824</v>
      </c>
      <c r="H5" s="12">
        <v>1043</v>
      </c>
      <c r="I5" s="24">
        <v>219</v>
      </c>
      <c r="J5" s="25">
        <f t="shared" si="1"/>
        <v>3.4978437949209393E-2</v>
      </c>
      <c r="K5" s="12">
        <v>122</v>
      </c>
      <c r="L5" s="12">
        <v>5000</v>
      </c>
      <c r="M5" s="12">
        <v>4466</v>
      </c>
      <c r="N5" s="12">
        <v>4466</v>
      </c>
      <c r="O5" s="12">
        <v>1860</v>
      </c>
      <c r="P5" s="12">
        <v>1391</v>
      </c>
      <c r="Q5" s="12">
        <v>1883</v>
      </c>
      <c r="R5" s="12">
        <v>1853</v>
      </c>
      <c r="S5" s="12">
        <v>1387</v>
      </c>
      <c r="T5" s="25">
        <f t="shared" si="2"/>
        <v>0.27739999999999998</v>
      </c>
      <c r="U5" s="19">
        <v>20.092713313052297</v>
      </c>
      <c r="V5" s="12">
        <v>709</v>
      </c>
      <c r="W5" s="11">
        <f t="shared" si="3"/>
        <v>0.67976989453499526</v>
      </c>
      <c r="X5" s="19">
        <v>10.270896711574677</v>
      </c>
      <c r="Y5" s="12">
        <v>2096</v>
      </c>
      <c r="Z5" s="19">
        <v>30.363610024626972</v>
      </c>
      <c r="AA5" s="12">
        <v>0</v>
      </c>
      <c r="AB5" s="12">
        <v>1546</v>
      </c>
      <c r="AC5" s="19">
        <v>89.312538146972656</v>
      </c>
      <c r="AD5" s="12">
        <v>185</v>
      </c>
      <c r="AE5" s="12">
        <v>0</v>
      </c>
      <c r="AF5" s="12">
        <v>4051</v>
      </c>
      <c r="AG5" s="12">
        <v>130</v>
      </c>
      <c r="AH5" s="19">
        <v>6.2022900581359863</v>
      </c>
      <c r="AI5" s="12">
        <v>613</v>
      </c>
      <c r="AJ5" s="12">
        <v>1301</v>
      </c>
      <c r="AK5" s="12">
        <v>1914</v>
      </c>
      <c r="AL5" s="19">
        <v>27.727075184702304</v>
      </c>
    </row>
    <row r="6" spans="1:38" x14ac:dyDescent="0.2">
      <c r="A6" s="18">
        <v>46270</v>
      </c>
      <c r="B6" s="12">
        <v>8153</v>
      </c>
      <c r="C6" s="12">
        <v>7593</v>
      </c>
      <c r="D6" s="11">
        <f t="shared" si="0"/>
        <v>0.93131362688580888</v>
      </c>
      <c r="E6" s="12">
        <v>4386</v>
      </c>
      <c r="F6" s="12">
        <v>2399</v>
      </c>
      <c r="G6" s="12">
        <v>1999</v>
      </c>
      <c r="H6" s="12">
        <v>2392</v>
      </c>
      <c r="I6" s="24">
        <v>393</v>
      </c>
      <c r="J6" s="25">
        <f t="shared" si="1"/>
        <v>5.175819834057685E-2</v>
      </c>
      <c r="K6" s="12">
        <v>279</v>
      </c>
      <c r="L6" s="12">
        <v>4859</v>
      </c>
      <c r="M6" s="12">
        <v>4624</v>
      </c>
      <c r="N6" s="12">
        <v>4624</v>
      </c>
      <c r="O6" s="12">
        <v>1793</v>
      </c>
      <c r="P6" s="12">
        <v>1381</v>
      </c>
      <c r="Q6" s="12">
        <v>1808</v>
      </c>
      <c r="R6" s="12">
        <v>1777</v>
      </c>
      <c r="S6" s="12">
        <v>1359</v>
      </c>
      <c r="T6" s="25">
        <f t="shared" si="2"/>
        <v>0.2796871784317761</v>
      </c>
      <c r="U6" s="19">
        <v>16.668710903961731</v>
      </c>
      <c r="V6" s="12">
        <v>1727</v>
      </c>
      <c r="W6" s="11">
        <f t="shared" si="3"/>
        <v>0.72198996655518399</v>
      </c>
      <c r="X6" s="19">
        <v>21.182386851465719</v>
      </c>
      <c r="Y6" s="12">
        <v>3086</v>
      </c>
      <c r="Z6" s="19">
        <v>37.851097755427453</v>
      </c>
      <c r="AA6" s="12">
        <v>0</v>
      </c>
      <c r="AB6" s="12">
        <v>1516</v>
      </c>
      <c r="AC6" s="19">
        <v>89.863662719726562</v>
      </c>
      <c r="AD6" s="12">
        <v>171</v>
      </c>
      <c r="AE6" s="12">
        <v>0</v>
      </c>
      <c r="AF6" s="12">
        <v>4181</v>
      </c>
      <c r="AG6" s="12">
        <v>222</v>
      </c>
      <c r="AH6" s="19">
        <v>7.1937785148620605</v>
      </c>
      <c r="AI6" s="12">
        <v>1507</v>
      </c>
      <c r="AJ6" s="12">
        <v>1286</v>
      </c>
      <c r="AK6" s="12">
        <v>2793</v>
      </c>
      <c r="AL6" s="19">
        <v>34.257328590702812</v>
      </c>
    </row>
    <row r="7" spans="1:38" x14ac:dyDescent="0.2">
      <c r="A7" s="18">
        <v>46271</v>
      </c>
      <c r="B7" s="12">
        <v>4143</v>
      </c>
      <c r="C7" s="12">
        <v>3785</v>
      </c>
      <c r="D7" s="11">
        <f t="shared" si="0"/>
        <v>0.91358918657977306</v>
      </c>
      <c r="E7" s="12">
        <v>2284</v>
      </c>
      <c r="F7" s="12">
        <v>1139</v>
      </c>
      <c r="G7" s="12">
        <v>950</v>
      </c>
      <c r="H7" s="12">
        <v>1136</v>
      </c>
      <c r="I7" s="24">
        <v>186</v>
      </c>
      <c r="J7" s="25">
        <f t="shared" si="1"/>
        <v>4.9141347424042275E-2</v>
      </c>
      <c r="K7" s="12">
        <v>209</v>
      </c>
      <c r="L7" s="12">
        <v>2511</v>
      </c>
      <c r="M7" s="12">
        <v>2433</v>
      </c>
      <c r="N7" s="12">
        <v>2433</v>
      </c>
      <c r="O7" s="12">
        <v>845</v>
      </c>
      <c r="P7" s="12">
        <v>626</v>
      </c>
      <c r="Q7" s="12">
        <v>858</v>
      </c>
      <c r="R7" s="12">
        <v>842</v>
      </c>
      <c r="S7" s="12">
        <v>617</v>
      </c>
      <c r="T7" s="25">
        <f t="shared" si="2"/>
        <v>0.24571883711668657</v>
      </c>
      <c r="U7" s="19">
        <v>14.892589910692735</v>
      </c>
      <c r="V7" s="12">
        <v>742</v>
      </c>
      <c r="W7" s="11">
        <f t="shared" si="3"/>
        <v>0.653169014084507</v>
      </c>
      <c r="X7" s="19">
        <v>17.909727250784456</v>
      </c>
      <c r="Y7" s="12">
        <v>1359</v>
      </c>
      <c r="Z7" s="19">
        <v>32.802317161477191</v>
      </c>
      <c r="AA7" s="12">
        <v>1</v>
      </c>
      <c r="AB7" s="12">
        <v>689</v>
      </c>
      <c r="AC7" s="19">
        <v>87.659034729003906</v>
      </c>
      <c r="AD7" s="12">
        <v>97</v>
      </c>
      <c r="AE7" s="12">
        <v>0</v>
      </c>
      <c r="AF7" s="12">
        <v>2128</v>
      </c>
      <c r="AG7" s="12">
        <v>97</v>
      </c>
      <c r="AH7" s="19">
        <v>7.137601375579834</v>
      </c>
      <c r="AI7" s="12">
        <v>648</v>
      </c>
      <c r="AJ7" s="12">
        <v>580</v>
      </c>
      <c r="AK7" s="12">
        <v>1228</v>
      </c>
      <c r="AL7" s="19">
        <v>29.640357229061067</v>
      </c>
    </row>
    <row r="8" spans="1:38" x14ac:dyDescent="0.2">
      <c r="A8" s="18">
        <v>46272</v>
      </c>
      <c r="B8" s="12">
        <v>2994</v>
      </c>
      <c r="C8" s="12">
        <v>2755</v>
      </c>
      <c r="D8" s="11">
        <f t="shared" si="0"/>
        <v>0.92017368069472283</v>
      </c>
      <c r="E8" s="12">
        <v>1647</v>
      </c>
      <c r="F8" s="12">
        <v>813</v>
      </c>
      <c r="G8" s="12">
        <v>694</v>
      </c>
      <c r="H8" s="12">
        <v>811</v>
      </c>
      <c r="I8" s="24">
        <v>117</v>
      </c>
      <c r="J8" s="25">
        <f t="shared" si="1"/>
        <v>4.2468239564428314E-2</v>
      </c>
      <c r="K8" s="12">
        <v>148</v>
      </c>
      <c r="L8" s="12">
        <v>1788</v>
      </c>
      <c r="M8" s="12">
        <v>1708</v>
      </c>
      <c r="N8" s="12">
        <v>1708</v>
      </c>
      <c r="O8" s="12">
        <v>594</v>
      </c>
      <c r="P8" s="12">
        <v>452</v>
      </c>
      <c r="Q8" s="12">
        <v>599</v>
      </c>
      <c r="R8" s="12">
        <v>588</v>
      </c>
      <c r="S8" s="12">
        <v>450</v>
      </c>
      <c r="T8" s="25">
        <f t="shared" si="2"/>
        <v>0.25167785234899331</v>
      </c>
      <c r="U8" s="19">
        <v>15.030060120240481</v>
      </c>
      <c r="V8" s="12">
        <v>548</v>
      </c>
      <c r="W8" s="11">
        <f t="shared" si="3"/>
        <v>0.67570900123304567</v>
      </c>
      <c r="X8" s="19">
        <v>18.303273213092851</v>
      </c>
      <c r="Y8" s="12">
        <v>998</v>
      </c>
      <c r="Z8" s="19">
        <v>33.333333333333336</v>
      </c>
      <c r="AA8" s="12">
        <v>0</v>
      </c>
      <c r="AB8" s="12">
        <v>497</v>
      </c>
      <c r="AC8" s="19">
        <v>90.363639831542969</v>
      </c>
      <c r="AD8" s="12">
        <v>53</v>
      </c>
      <c r="AE8" s="12">
        <v>0</v>
      </c>
      <c r="AF8" s="12">
        <v>1570</v>
      </c>
      <c r="AG8" s="12">
        <v>76</v>
      </c>
      <c r="AH8" s="19">
        <v>7.6152305603027344</v>
      </c>
      <c r="AI8" s="12">
        <v>473</v>
      </c>
      <c r="AJ8" s="12">
        <v>422</v>
      </c>
      <c r="AK8" s="12">
        <v>895</v>
      </c>
      <c r="AL8" s="19">
        <v>29.893119572478291</v>
      </c>
    </row>
    <row r="9" spans="1:38" x14ac:dyDescent="0.2">
      <c r="A9" s="18">
        <v>46273</v>
      </c>
      <c r="B9" s="12">
        <v>4216</v>
      </c>
      <c r="C9" s="12">
        <v>3815</v>
      </c>
      <c r="D9" s="11">
        <f t="shared" si="0"/>
        <v>0.90488614800759015</v>
      </c>
      <c r="E9" s="12">
        <v>2810</v>
      </c>
      <c r="F9" s="12">
        <v>738</v>
      </c>
      <c r="G9" s="12">
        <v>631</v>
      </c>
      <c r="H9" s="12">
        <v>737</v>
      </c>
      <c r="I9" s="24">
        <v>106</v>
      </c>
      <c r="J9" s="25">
        <f t="shared" si="1"/>
        <v>2.7785058977719528E-2</v>
      </c>
      <c r="K9" s="12">
        <v>103</v>
      </c>
      <c r="L9" s="12">
        <v>2947</v>
      </c>
      <c r="M9" s="12">
        <v>2598</v>
      </c>
      <c r="N9" s="12">
        <v>2598</v>
      </c>
      <c r="O9" s="12">
        <v>992</v>
      </c>
      <c r="P9" s="12">
        <v>778</v>
      </c>
      <c r="Q9" s="12">
        <v>998</v>
      </c>
      <c r="R9" s="12">
        <v>983</v>
      </c>
      <c r="S9" s="12">
        <v>771</v>
      </c>
      <c r="T9" s="25">
        <f t="shared" si="2"/>
        <v>0.26162198846284357</v>
      </c>
      <c r="U9" s="19">
        <v>18.287476280834916</v>
      </c>
      <c r="V9" s="12">
        <v>529</v>
      </c>
      <c r="W9" s="11">
        <f t="shared" si="3"/>
        <v>0.71777476255088191</v>
      </c>
      <c r="X9" s="19">
        <v>12.547438330170777</v>
      </c>
      <c r="Y9" s="12">
        <v>1300</v>
      </c>
      <c r="Z9" s="19">
        <v>30.834914611005694</v>
      </c>
      <c r="AA9" s="12">
        <v>1</v>
      </c>
      <c r="AB9" s="12">
        <v>830</v>
      </c>
      <c r="AC9" s="19">
        <v>92.94512939453125</v>
      </c>
      <c r="AD9" s="12">
        <v>63</v>
      </c>
      <c r="AE9" s="12">
        <v>0</v>
      </c>
      <c r="AF9" s="12">
        <v>2277</v>
      </c>
      <c r="AG9" s="12">
        <v>76</v>
      </c>
      <c r="AH9" s="19">
        <v>5.846153736114502</v>
      </c>
      <c r="AI9" s="12">
        <v>458</v>
      </c>
      <c r="AJ9" s="12">
        <v>724</v>
      </c>
      <c r="AK9" s="12">
        <v>1182</v>
      </c>
      <c r="AL9" s="19">
        <v>28.03605313092979</v>
      </c>
    </row>
    <row r="10" spans="1:38" x14ac:dyDescent="0.2">
      <c r="A10" s="18">
        <v>46274</v>
      </c>
      <c r="B10" s="12">
        <v>6004</v>
      </c>
      <c r="C10" s="12">
        <v>5592</v>
      </c>
      <c r="D10" s="11">
        <f t="shared" si="0"/>
        <v>0.93137908061292474</v>
      </c>
      <c r="E10" s="12">
        <v>3318</v>
      </c>
      <c r="F10" s="12">
        <v>1669</v>
      </c>
      <c r="G10" s="12">
        <v>1381</v>
      </c>
      <c r="H10" s="12">
        <v>1665</v>
      </c>
      <c r="I10" s="24">
        <v>284</v>
      </c>
      <c r="J10" s="25">
        <f t="shared" si="1"/>
        <v>5.0786838340486411E-2</v>
      </c>
      <c r="K10" s="12">
        <v>155</v>
      </c>
      <c r="L10" s="12">
        <v>3650</v>
      </c>
      <c r="M10" s="12">
        <v>3266</v>
      </c>
      <c r="N10" s="12">
        <v>3266</v>
      </c>
      <c r="O10" s="12">
        <v>1247</v>
      </c>
      <c r="P10" s="12">
        <v>977</v>
      </c>
      <c r="Q10" s="12">
        <v>1272</v>
      </c>
      <c r="R10" s="12">
        <v>1243</v>
      </c>
      <c r="S10" s="12">
        <v>982</v>
      </c>
      <c r="T10" s="25">
        <f t="shared" si="2"/>
        <v>0.26904109589041098</v>
      </c>
      <c r="U10" s="19">
        <v>16.355762824783479</v>
      </c>
      <c r="V10" s="12">
        <v>1227</v>
      </c>
      <c r="W10" s="11">
        <f t="shared" si="3"/>
        <v>0.73693693693693696</v>
      </c>
      <c r="X10" s="19">
        <v>20.436375749500332</v>
      </c>
      <c r="Y10" s="12">
        <v>2209</v>
      </c>
      <c r="Z10" s="19">
        <v>36.792138574283811</v>
      </c>
      <c r="AA10" s="12">
        <v>0</v>
      </c>
      <c r="AB10" s="12">
        <v>1037</v>
      </c>
      <c r="AC10" s="19">
        <v>92.095916748046875</v>
      </c>
      <c r="AD10" s="12">
        <v>89</v>
      </c>
      <c r="AE10" s="12">
        <v>0</v>
      </c>
      <c r="AF10" s="12">
        <v>3068</v>
      </c>
      <c r="AG10" s="12">
        <v>150</v>
      </c>
      <c r="AH10" s="19">
        <v>6.790402889251709</v>
      </c>
      <c r="AI10" s="12">
        <v>1071</v>
      </c>
      <c r="AJ10" s="12">
        <v>922</v>
      </c>
      <c r="AK10" s="12">
        <v>1993</v>
      </c>
      <c r="AL10" s="19">
        <v>33.19453697534977</v>
      </c>
    </row>
    <row r="11" spans="1:38" x14ac:dyDescent="0.2">
      <c r="A11" s="18">
        <v>46275</v>
      </c>
      <c r="B11" s="12">
        <v>9365</v>
      </c>
      <c r="C11" s="12">
        <v>8674</v>
      </c>
      <c r="D11" s="11">
        <f t="shared" si="0"/>
        <v>0.92621462893753337</v>
      </c>
      <c r="E11" s="12">
        <v>4915</v>
      </c>
      <c r="F11" s="12">
        <v>2721</v>
      </c>
      <c r="G11" s="12">
        <v>2272</v>
      </c>
      <c r="H11" s="12">
        <v>2721</v>
      </c>
      <c r="I11" s="24">
        <v>449</v>
      </c>
      <c r="J11" s="25">
        <f t="shared" si="1"/>
        <v>5.1763892091307356E-2</v>
      </c>
      <c r="K11" s="12">
        <v>271</v>
      </c>
      <c r="L11" s="12">
        <v>5462</v>
      </c>
      <c r="M11" s="12">
        <v>5195</v>
      </c>
      <c r="N11" s="12">
        <v>5195</v>
      </c>
      <c r="O11" s="12">
        <v>1840</v>
      </c>
      <c r="P11" s="12">
        <v>1465</v>
      </c>
      <c r="Q11" s="12">
        <v>1872</v>
      </c>
      <c r="R11" s="12">
        <v>1828</v>
      </c>
      <c r="S11" s="12">
        <v>1464</v>
      </c>
      <c r="T11" s="25">
        <f t="shared" si="2"/>
        <v>0.26803368729403149</v>
      </c>
      <c r="U11" s="19">
        <v>15.632674853176722</v>
      </c>
      <c r="V11" s="12">
        <v>2001</v>
      </c>
      <c r="W11" s="11">
        <f t="shared" si="3"/>
        <v>0.7353914002205072</v>
      </c>
      <c r="X11" s="19">
        <v>21.366791243993593</v>
      </c>
      <c r="Y11" s="12">
        <v>3465</v>
      </c>
      <c r="Z11" s="12">
        <v>36.999466097170313</v>
      </c>
      <c r="AA11" s="12">
        <v>1</v>
      </c>
      <c r="AB11" s="12">
        <v>1550</v>
      </c>
      <c r="AC11" s="19">
        <v>91.933570861816406</v>
      </c>
      <c r="AD11" s="12">
        <v>136</v>
      </c>
      <c r="AE11" s="12">
        <v>0</v>
      </c>
      <c r="AF11" s="12">
        <v>4795</v>
      </c>
      <c r="AG11" s="12">
        <v>254</v>
      </c>
      <c r="AH11" s="19">
        <v>7.3304471969604492</v>
      </c>
      <c r="AI11" s="12">
        <v>1748</v>
      </c>
      <c r="AJ11" s="12">
        <v>1378</v>
      </c>
      <c r="AK11" s="12">
        <v>3126</v>
      </c>
      <c r="AL11" s="19">
        <v>33.379604911906036</v>
      </c>
    </row>
    <row r="12" spans="1:38" x14ac:dyDescent="0.2">
      <c r="A12" s="18">
        <v>46276</v>
      </c>
      <c r="B12" s="12">
        <v>9500</v>
      </c>
      <c r="C12" s="12">
        <v>8887</v>
      </c>
      <c r="D12" s="11">
        <f t="shared" si="0"/>
        <v>0.93547368421052635</v>
      </c>
      <c r="E12" s="12">
        <v>5143</v>
      </c>
      <c r="F12" s="12">
        <v>2600</v>
      </c>
      <c r="G12" s="12">
        <v>2130</v>
      </c>
      <c r="H12" s="12">
        <v>2596</v>
      </c>
      <c r="I12" s="24">
        <v>466</v>
      </c>
      <c r="J12" s="25">
        <f t="shared" si="1"/>
        <v>5.243614268031957E-2</v>
      </c>
      <c r="K12" s="12">
        <v>297</v>
      </c>
      <c r="L12" s="12">
        <v>5688</v>
      </c>
      <c r="M12" s="12">
        <v>4972</v>
      </c>
      <c r="N12" s="12">
        <v>4972</v>
      </c>
      <c r="O12" s="12">
        <v>1854</v>
      </c>
      <c r="P12" s="12">
        <v>1465</v>
      </c>
      <c r="Q12" s="12">
        <v>1883</v>
      </c>
      <c r="R12" s="12">
        <v>1847</v>
      </c>
      <c r="S12" s="12">
        <v>1457</v>
      </c>
      <c r="T12" s="25">
        <f t="shared" si="2"/>
        <v>0.25615330520393814</v>
      </c>
      <c r="U12" s="19">
        <v>15.336842105263157</v>
      </c>
      <c r="V12" s="12">
        <v>1835</v>
      </c>
      <c r="W12" s="11">
        <f t="shared" si="3"/>
        <v>0.70685670261941447</v>
      </c>
      <c r="X12" s="19">
        <v>19.315789473684209</v>
      </c>
      <c r="Y12" s="12">
        <v>3292</v>
      </c>
      <c r="Z12" s="19">
        <v>34.652631578947371</v>
      </c>
      <c r="AA12" s="12">
        <v>2</v>
      </c>
      <c r="AB12" s="12">
        <v>1546</v>
      </c>
      <c r="AC12" s="19">
        <v>91.914390563964844</v>
      </c>
      <c r="AD12" s="12">
        <v>136</v>
      </c>
      <c r="AE12" s="12">
        <v>0</v>
      </c>
      <c r="AF12" s="12">
        <v>5011</v>
      </c>
      <c r="AG12" s="12">
        <v>281</v>
      </c>
      <c r="AH12" s="19">
        <v>8.5358448028564453</v>
      </c>
      <c r="AI12" s="12">
        <v>1587</v>
      </c>
      <c r="AJ12" s="12">
        <v>1351</v>
      </c>
      <c r="AK12" s="12">
        <v>2938</v>
      </c>
      <c r="AL12" s="19">
        <v>30.926315789473684</v>
      </c>
    </row>
    <row r="13" spans="1:38" x14ac:dyDescent="0.2">
      <c r="A13" s="18">
        <v>46277</v>
      </c>
      <c r="B13" s="12">
        <v>9504</v>
      </c>
      <c r="C13" s="12">
        <v>8897</v>
      </c>
      <c r="D13" s="11">
        <f t="shared" si="0"/>
        <v>0.93613215488215484</v>
      </c>
      <c r="E13" s="12">
        <v>5368</v>
      </c>
      <c r="F13" s="12">
        <v>2278</v>
      </c>
      <c r="G13" s="12">
        <v>1831</v>
      </c>
      <c r="H13" s="12">
        <v>2278</v>
      </c>
      <c r="I13" s="24">
        <v>447</v>
      </c>
      <c r="J13" s="25">
        <f t="shared" si="1"/>
        <v>5.0241654490277621E-2</v>
      </c>
      <c r="K13" s="12">
        <v>237</v>
      </c>
      <c r="L13" s="12">
        <v>5874</v>
      </c>
      <c r="M13" s="12">
        <v>4669</v>
      </c>
      <c r="N13" s="12">
        <v>4669</v>
      </c>
      <c r="O13" s="12">
        <v>1939</v>
      </c>
      <c r="P13" s="12">
        <v>1468</v>
      </c>
      <c r="Q13" s="12">
        <v>1971</v>
      </c>
      <c r="R13" s="12">
        <v>1932</v>
      </c>
      <c r="S13" s="12">
        <v>1455</v>
      </c>
      <c r="T13" s="25">
        <f t="shared" si="2"/>
        <v>0.24770173646578142</v>
      </c>
      <c r="U13" s="19">
        <v>15.309343434343434</v>
      </c>
      <c r="V13" s="12">
        <v>1595</v>
      </c>
      <c r="W13" s="11">
        <f t="shared" si="3"/>
        <v>0.70017559262510976</v>
      </c>
      <c r="X13" s="19">
        <v>16.782407407407408</v>
      </c>
      <c r="Y13" s="12">
        <v>3050</v>
      </c>
      <c r="Z13" s="19">
        <v>32.091750841750844</v>
      </c>
      <c r="AA13" s="12">
        <v>1</v>
      </c>
      <c r="AB13" s="12">
        <v>1537</v>
      </c>
      <c r="AC13" s="19">
        <v>92.534614562988281</v>
      </c>
      <c r="AD13" s="12">
        <v>124</v>
      </c>
      <c r="AE13" s="12">
        <v>0</v>
      </c>
      <c r="AF13" s="12">
        <v>5186</v>
      </c>
      <c r="AG13" s="12">
        <v>242</v>
      </c>
      <c r="AH13" s="19">
        <v>7.9344263076782227</v>
      </c>
      <c r="AI13" s="12">
        <v>1369</v>
      </c>
      <c r="AJ13" s="12">
        <v>1365</v>
      </c>
      <c r="AK13" s="12">
        <v>2734</v>
      </c>
      <c r="AL13" s="19">
        <v>28.766835016835017</v>
      </c>
    </row>
    <row r="14" spans="1:38" x14ac:dyDescent="0.2">
      <c r="A14" s="18">
        <v>46278</v>
      </c>
      <c r="B14" s="12">
        <v>10761</v>
      </c>
      <c r="C14" s="12">
        <v>10054</v>
      </c>
      <c r="D14" s="11">
        <f t="shared" si="0"/>
        <v>0.93429978626521704</v>
      </c>
      <c r="E14" s="12">
        <v>5978</v>
      </c>
      <c r="F14" s="12">
        <v>2728</v>
      </c>
      <c r="G14" s="12">
        <v>2208</v>
      </c>
      <c r="H14" s="12">
        <v>2723</v>
      </c>
      <c r="I14" s="24">
        <v>515</v>
      </c>
      <c r="J14" s="25">
        <f t="shared" si="1"/>
        <v>5.122339367415954E-2</v>
      </c>
      <c r="K14" s="12">
        <v>273</v>
      </c>
      <c r="L14" s="12">
        <v>6555</v>
      </c>
      <c r="M14" s="12">
        <v>5409</v>
      </c>
      <c r="N14" s="12">
        <v>5409</v>
      </c>
      <c r="O14" s="12">
        <v>2221</v>
      </c>
      <c r="P14" s="12">
        <v>1726</v>
      </c>
      <c r="Q14" s="12">
        <v>2259</v>
      </c>
      <c r="R14" s="12">
        <v>2210</v>
      </c>
      <c r="S14" s="12">
        <v>1716</v>
      </c>
      <c r="T14" s="25">
        <f t="shared" si="2"/>
        <v>0.2617848970251716</v>
      </c>
      <c r="U14" s="19">
        <v>15.94647337608029</v>
      </c>
      <c r="V14" s="12">
        <v>1938</v>
      </c>
      <c r="W14" s="11">
        <f t="shared" si="3"/>
        <v>0.71171502019831068</v>
      </c>
      <c r="X14" s="19">
        <v>18.009478672985782</v>
      </c>
      <c r="Y14" s="12">
        <v>3654</v>
      </c>
      <c r="Z14" s="19">
        <v>33.95595204906607</v>
      </c>
      <c r="AA14" s="12">
        <v>1</v>
      </c>
      <c r="AB14" s="12">
        <v>1808</v>
      </c>
      <c r="AC14" s="19">
        <v>91.637100219726562</v>
      </c>
      <c r="AD14" s="12">
        <v>165</v>
      </c>
      <c r="AE14" s="12">
        <v>0</v>
      </c>
      <c r="AF14" s="12">
        <v>5558</v>
      </c>
      <c r="AG14" s="12">
        <v>273</v>
      </c>
      <c r="AH14" s="19">
        <v>7.4712643623352051</v>
      </c>
      <c r="AI14" s="12">
        <v>1680</v>
      </c>
      <c r="AJ14" s="12">
        <v>1593</v>
      </c>
      <c r="AK14" s="12">
        <v>3273</v>
      </c>
      <c r="AL14" s="19">
        <v>30.415388904376918</v>
      </c>
    </row>
    <row r="15" spans="1:38" x14ac:dyDescent="0.2">
      <c r="A15" s="18">
        <v>46279</v>
      </c>
      <c r="B15" s="12">
        <v>9223</v>
      </c>
      <c r="C15" s="12">
        <v>8558</v>
      </c>
      <c r="D15" s="11">
        <f t="shared" si="0"/>
        <v>0.9278976471863819</v>
      </c>
      <c r="E15" s="12">
        <v>4912</v>
      </c>
      <c r="F15" s="12">
        <v>2506</v>
      </c>
      <c r="G15" s="12">
        <v>2106</v>
      </c>
      <c r="H15" s="12">
        <v>2506</v>
      </c>
      <c r="I15" s="24">
        <v>400</v>
      </c>
      <c r="J15" s="25">
        <f t="shared" si="1"/>
        <v>4.6739892498247254E-2</v>
      </c>
      <c r="K15" s="12">
        <v>248</v>
      </c>
      <c r="L15" s="12">
        <v>5389</v>
      </c>
      <c r="M15" s="12">
        <v>4913</v>
      </c>
      <c r="N15" s="12">
        <v>4913</v>
      </c>
      <c r="O15" s="12">
        <v>1830</v>
      </c>
      <c r="P15" s="12">
        <v>1475</v>
      </c>
      <c r="Q15" s="12">
        <v>1858</v>
      </c>
      <c r="R15" s="12">
        <v>1822</v>
      </c>
      <c r="S15" s="12">
        <v>1464</v>
      </c>
      <c r="T15" s="25">
        <f t="shared" si="2"/>
        <v>0.27166450176285023</v>
      </c>
      <c r="U15" s="19">
        <v>15.873360078065705</v>
      </c>
      <c r="V15" s="12">
        <v>1863</v>
      </c>
      <c r="W15" s="11">
        <f t="shared" si="3"/>
        <v>0.74341580207502</v>
      </c>
      <c r="X15" s="19">
        <v>20.199501246882793</v>
      </c>
      <c r="Y15" s="12">
        <v>3327</v>
      </c>
      <c r="Z15" s="19">
        <v>36.072861324948498</v>
      </c>
      <c r="AA15" s="12">
        <v>0</v>
      </c>
      <c r="AB15" s="12">
        <v>1551</v>
      </c>
      <c r="AC15" s="19">
        <v>91.342758178710938</v>
      </c>
      <c r="AD15" s="12">
        <v>147</v>
      </c>
      <c r="AE15" s="12">
        <v>0</v>
      </c>
      <c r="AF15" s="12">
        <v>4532</v>
      </c>
      <c r="AG15" s="12">
        <v>262</v>
      </c>
      <c r="AH15" s="19">
        <v>7.874962329864502</v>
      </c>
      <c r="AI15" s="12">
        <v>1609</v>
      </c>
      <c r="AJ15" s="12">
        <v>1379</v>
      </c>
      <c r="AK15" s="12">
        <v>2988</v>
      </c>
      <c r="AL15" s="19">
        <v>32.39726770031443</v>
      </c>
    </row>
    <row r="16" spans="1:38" x14ac:dyDescent="0.2">
      <c r="A16" s="18">
        <v>46280</v>
      </c>
      <c r="B16" s="12">
        <v>7916</v>
      </c>
      <c r="C16" s="12">
        <v>7180</v>
      </c>
      <c r="D16" s="11">
        <f t="shared" si="0"/>
        <v>0.90702374936836783</v>
      </c>
      <c r="E16" s="12">
        <v>4173</v>
      </c>
      <c r="F16" s="12">
        <v>2112</v>
      </c>
      <c r="G16" s="12">
        <v>1744</v>
      </c>
      <c r="H16" s="12">
        <v>2112</v>
      </c>
      <c r="I16" s="24">
        <v>368</v>
      </c>
      <c r="J16" s="25">
        <f t="shared" si="1"/>
        <v>5.1253481894150417E-2</v>
      </c>
      <c r="K16" s="12">
        <v>225</v>
      </c>
      <c r="L16" s="12">
        <v>4599</v>
      </c>
      <c r="M16" s="12">
        <v>4238</v>
      </c>
      <c r="N16" s="12">
        <v>4238</v>
      </c>
      <c r="O16" s="12">
        <v>1542</v>
      </c>
      <c r="P16" s="12">
        <v>1236</v>
      </c>
      <c r="Q16" s="12">
        <v>1558</v>
      </c>
      <c r="R16" s="12">
        <v>1533</v>
      </c>
      <c r="S16" s="12">
        <v>1229</v>
      </c>
      <c r="T16" s="25">
        <f t="shared" si="2"/>
        <v>0.26723200695803434</v>
      </c>
      <c r="U16" s="19">
        <v>15.525517938352703</v>
      </c>
      <c r="V16" s="12">
        <v>1522</v>
      </c>
      <c r="W16" s="11">
        <f t="shared" si="3"/>
        <v>0.72064393939393945</v>
      </c>
      <c r="X16" s="19">
        <v>19.226882263769582</v>
      </c>
      <c r="Y16" s="12">
        <v>2751</v>
      </c>
      <c r="Z16" s="19">
        <v>34.752400202122281</v>
      </c>
      <c r="AA16" s="12">
        <v>0</v>
      </c>
      <c r="AB16" s="12">
        <v>1304</v>
      </c>
      <c r="AC16" s="19">
        <v>91.380516052246094</v>
      </c>
      <c r="AD16" s="12">
        <v>123</v>
      </c>
      <c r="AE16" s="12">
        <v>0</v>
      </c>
      <c r="AF16" s="12">
        <v>3790</v>
      </c>
      <c r="AG16" s="12">
        <v>199</v>
      </c>
      <c r="AH16" s="19">
        <v>7.2337331771850586</v>
      </c>
      <c r="AI16" s="12">
        <v>1329</v>
      </c>
      <c r="AJ16" s="12">
        <v>1163</v>
      </c>
      <c r="AK16" s="12">
        <v>2492</v>
      </c>
      <c r="AL16" s="19">
        <v>31.48054573016675</v>
      </c>
    </row>
    <row r="17" spans="1:38" x14ac:dyDescent="0.2">
      <c r="A17" s="18">
        <v>46281</v>
      </c>
      <c r="B17" s="12">
        <v>7157</v>
      </c>
      <c r="C17" s="12">
        <v>6626</v>
      </c>
      <c r="D17" s="11">
        <f t="shared" si="0"/>
        <v>0.92580690233337992</v>
      </c>
      <c r="E17" s="12">
        <v>3980</v>
      </c>
      <c r="F17" s="12">
        <v>1849</v>
      </c>
      <c r="G17" s="12">
        <v>1473</v>
      </c>
      <c r="H17" s="12">
        <v>1848</v>
      </c>
      <c r="I17" s="24">
        <v>375</v>
      </c>
      <c r="J17" s="25">
        <f t="shared" si="1"/>
        <v>5.6595230908542106E-2</v>
      </c>
      <c r="K17" s="12">
        <v>210</v>
      </c>
      <c r="L17" s="12">
        <v>4422</v>
      </c>
      <c r="M17" s="12">
        <v>3993</v>
      </c>
      <c r="N17" s="12">
        <v>3993</v>
      </c>
      <c r="O17" s="12">
        <v>1372</v>
      </c>
      <c r="P17" s="12">
        <v>1098</v>
      </c>
      <c r="Q17" s="12">
        <v>1400</v>
      </c>
      <c r="R17" s="12">
        <v>1366</v>
      </c>
      <c r="S17" s="12">
        <v>1107</v>
      </c>
      <c r="T17" s="25">
        <f t="shared" si="2"/>
        <v>0.25033921302578022</v>
      </c>
      <c r="U17" s="19">
        <v>15.467374598295375</v>
      </c>
      <c r="V17" s="12">
        <v>1266</v>
      </c>
      <c r="W17" s="11">
        <f t="shared" si="3"/>
        <v>0.68506493506493504</v>
      </c>
      <c r="X17" s="19">
        <v>17.688975827860837</v>
      </c>
      <c r="Y17" s="12">
        <v>2373</v>
      </c>
      <c r="Z17" s="19">
        <v>33.156350426156209</v>
      </c>
      <c r="AA17" s="12">
        <v>7</v>
      </c>
      <c r="AB17" s="12">
        <v>1187</v>
      </c>
      <c r="AC17" s="19">
        <v>92.301712036132812</v>
      </c>
      <c r="AD17" s="12">
        <v>99</v>
      </c>
      <c r="AE17" s="12">
        <v>0</v>
      </c>
      <c r="AF17" s="12">
        <v>2137</v>
      </c>
      <c r="AG17" s="12">
        <v>141</v>
      </c>
      <c r="AH17" s="19">
        <v>5.9418458938598633</v>
      </c>
      <c r="AI17" s="12">
        <v>1136</v>
      </c>
      <c r="AJ17" s="12">
        <v>1038</v>
      </c>
      <c r="AK17" s="12">
        <v>2174</v>
      </c>
      <c r="AL17" s="19">
        <v>30.3758558055051</v>
      </c>
    </row>
    <row r="18" spans="1:38" x14ac:dyDescent="0.2">
      <c r="A18" s="18">
        <v>46282</v>
      </c>
      <c r="B18" s="12">
        <v>12523</v>
      </c>
      <c r="C18" s="12">
        <v>11580</v>
      </c>
      <c r="D18" s="11">
        <f t="shared" si="0"/>
        <v>0.92469855465942663</v>
      </c>
      <c r="E18" s="12">
        <v>6869</v>
      </c>
      <c r="F18" s="12">
        <v>3187</v>
      </c>
      <c r="G18" s="12">
        <v>2597</v>
      </c>
      <c r="H18" s="12">
        <v>3182</v>
      </c>
      <c r="I18" s="24">
        <v>586</v>
      </c>
      <c r="J18" s="25">
        <f t="shared" si="1"/>
        <v>5.0604490500863561E-2</v>
      </c>
      <c r="K18" s="12">
        <v>348</v>
      </c>
      <c r="L18" s="12">
        <v>7553</v>
      </c>
      <c r="M18" s="12">
        <v>6753</v>
      </c>
      <c r="N18" s="12">
        <v>6753</v>
      </c>
      <c r="O18" s="12">
        <v>2456</v>
      </c>
      <c r="P18" s="12">
        <v>1924</v>
      </c>
      <c r="Q18" s="12">
        <v>2493</v>
      </c>
      <c r="R18" s="12">
        <v>2445</v>
      </c>
      <c r="S18" s="12">
        <v>1907</v>
      </c>
      <c r="T18" s="25">
        <f t="shared" si="2"/>
        <v>0.25248245730173441</v>
      </c>
      <c r="U18" s="19">
        <v>15.227980515850835</v>
      </c>
      <c r="V18" s="12">
        <v>2250</v>
      </c>
      <c r="W18" s="11">
        <f t="shared" si="3"/>
        <v>0.7071024512884978</v>
      </c>
      <c r="X18" s="19">
        <v>17.966940828874872</v>
      </c>
      <c r="Y18" s="12">
        <v>4157</v>
      </c>
      <c r="Z18" s="19">
        <v>33.194921344725707</v>
      </c>
      <c r="AA18" s="12">
        <v>15</v>
      </c>
      <c r="AB18" s="12">
        <v>2051</v>
      </c>
      <c r="AC18" s="19">
        <v>91.115058898925781</v>
      </c>
      <c r="AD18" s="12">
        <v>200</v>
      </c>
      <c r="AE18" s="12">
        <v>0</v>
      </c>
      <c r="AF18" s="12">
        <v>75</v>
      </c>
      <c r="AG18" s="12">
        <v>83</v>
      </c>
      <c r="AH18" s="12">
        <v>1.9966322183609009</v>
      </c>
      <c r="AI18" s="12">
        <v>2190</v>
      </c>
      <c r="AJ18" s="12">
        <v>1855</v>
      </c>
      <c r="AK18" s="12">
        <v>4045</v>
      </c>
      <c r="AL18" s="19">
        <v>32.300566956799486</v>
      </c>
    </row>
    <row r="19" spans="1:38" x14ac:dyDescent="0.2">
      <c r="A19" s="18">
        <v>46283</v>
      </c>
      <c r="B19" s="12">
        <v>14149</v>
      </c>
      <c r="C19" s="12">
        <v>13042</v>
      </c>
      <c r="D19" s="11">
        <f t="shared" si="0"/>
        <v>0.9217612552123825</v>
      </c>
      <c r="E19" s="12">
        <v>7739</v>
      </c>
      <c r="F19" s="12">
        <v>3393</v>
      </c>
      <c r="G19" s="12">
        <v>2679</v>
      </c>
      <c r="H19" s="12">
        <v>3390</v>
      </c>
      <c r="I19" s="24">
        <v>711</v>
      </c>
      <c r="J19" s="25">
        <f t="shared" si="1"/>
        <v>5.4516178500230029E-2</v>
      </c>
      <c r="K19" s="12">
        <v>377</v>
      </c>
      <c r="L19" s="12">
        <v>8557</v>
      </c>
      <c r="M19" s="12">
        <v>7016</v>
      </c>
      <c r="N19" s="12">
        <v>7016</v>
      </c>
      <c r="O19" s="12">
        <v>2678</v>
      </c>
      <c r="P19" s="12">
        <v>2016</v>
      </c>
      <c r="Q19" s="12">
        <v>2708</v>
      </c>
      <c r="R19" s="12">
        <v>2663</v>
      </c>
      <c r="S19" s="12">
        <v>1979</v>
      </c>
      <c r="T19" s="25">
        <f t="shared" si="2"/>
        <v>0.23127264228117331</v>
      </c>
      <c r="U19" s="19">
        <v>13.986854194642731</v>
      </c>
      <c r="V19" s="12">
        <v>2303</v>
      </c>
      <c r="W19" s="11">
        <f t="shared" si="3"/>
        <v>0.67935103244837758</v>
      </c>
      <c r="X19" s="19">
        <v>16.276768676231537</v>
      </c>
      <c r="Y19" s="12">
        <v>4282</v>
      </c>
      <c r="Z19" s="19">
        <v>30.263622870874269</v>
      </c>
      <c r="AA19" s="12">
        <v>11</v>
      </c>
      <c r="AB19" s="12">
        <v>2163</v>
      </c>
      <c r="AC19" s="19">
        <v>90.577888488769531</v>
      </c>
      <c r="AD19" s="12">
        <v>225</v>
      </c>
      <c r="AE19" s="12">
        <v>0</v>
      </c>
      <c r="AF19" s="12">
        <v>61</v>
      </c>
      <c r="AG19" s="12">
        <v>88</v>
      </c>
      <c r="AH19" s="19">
        <v>2.0551145076751709</v>
      </c>
      <c r="AI19" s="12">
        <v>2242</v>
      </c>
      <c r="AJ19" s="12">
        <v>1927</v>
      </c>
      <c r="AK19" s="12">
        <v>4169</v>
      </c>
      <c r="AL19" s="19">
        <v>29.464979857233725</v>
      </c>
    </row>
    <row r="20" spans="1:38" x14ac:dyDescent="0.2">
      <c r="A20" s="18">
        <v>46284</v>
      </c>
      <c r="B20" s="12">
        <v>17637</v>
      </c>
      <c r="C20" s="12">
        <v>16264</v>
      </c>
      <c r="D20" s="11">
        <f t="shared" si="0"/>
        <v>0.92215229347394678</v>
      </c>
      <c r="E20" s="12">
        <v>10321</v>
      </c>
      <c r="F20" s="12">
        <v>3631</v>
      </c>
      <c r="G20" s="12">
        <v>2691</v>
      </c>
      <c r="H20" s="12">
        <v>3627</v>
      </c>
      <c r="I20" s="24">
        <v>936</v>
      </c>
      <c r="J20" s="25">
        <f t="shared" si="1"/>
        <v>5.7550418101328084E-2</v>
      </c>
      <c r="K20" s="12">
        <v>413</v>
      </c>
      <c r="L20" s="12">
        <v>11237</v>
      </c>
      <c r="M20" s="12">
        <v>7636</v>
      </c>
      <c r="N20" s="12">
        <v>7636</v>
      </c>
      <c r="O20" s="12">
        <v>3518</v>
      </c>
      <c r="P20" s="12">
        <v>2361</v>
      </c>
      <c r="Q20" s="12">
        <v>3531</v>
      </c>
      <c r="R20" s="12">
        <v>3496</v>
      </c>
      <c r="S20" s="12">
        <v>2251</v>
      </c>
      <c r="T20" s="25">
        <f t="shared" si="2"/>
        <v>0.20032037020557089</v>
      </c>
      <c r="U20" s="19">
        <v>12.762941543346374</v>
      </c>
      <c r="V20" s="12">
        <v>2286</v>
      </c>
      <c r="W20" s="11">
        <f t="shared" si="3"/>
        <v>0.63027295285359797</v>
      </c>
      <c r="X20" s="19">
        <v>12.961387991154959</v>
      </c>
      <c r="Y20" s="12">
        <v>4537</v>
      </c>
      <c r="Z20" s="19">
        <v>25.724329534501333</v>
      </c>
      <c r="AA20" s="12">
        <v>7</v>
      </c>
      <c r="AB20" s="12">
        <v>2566</v>
      </c>
      <c r="AC20" s="19">
        <v>88.94281005859375</v>
      </c>
      <c r="AD20" s="12">
        <v>319</v>
      </c>
      <c r="AE20" s="12">
        <v>0</v>
      </c>
      <c r="AF20" s="12">
        <v>85</v>
      </c>
      <c r="AG20" s="12">
        <v>79</v>
      </c>
      <c r="AH20" s="19">
        <v>1.7412387132644653</v>
      </c>
      <c r="AI20" s="12">
        <v>2224</v>
      </c>
      <c r="AJ20" s="12">
        <v>2211</v>
      </c>
      <c r="AK20" s="12">
        <v>4435</v>
      </c>
      <c r="AL20" s="19">
        <v>25.145999886602031</v>
      </c>
    </row>
    <row r="21" spans="1:38" x14ac:dyDescent="0.2">
      <c r="A21" s="18">
        <v>46285</v>
      </c>
      <c r="B21" s="12">
        <v>16906</v>
      </c>
      <c r="C21" s="12">
        <v>15532</v>
      </c>
      <c r="D21" s="11">
        <f t="shared" si="0"/>
        <v>0.91872707914349938</v>
      </c>
      <c r="E21" s="12">
        <v>9839</v>
      </c>
      <c r="F21" s="12">
        <v>3548</v>
      </c>
      <c r="G21" s="12">
        <v>2631</v>
      </c>
      <c r="H21" s="12">
        <v>3545</v>
      </c>
      <c r="I21" s="24">
        <v>913</v>
      </c>
      <c r="J21" s="25">
        <f t="shared" si="1"/>
        <v>5.8781869688385266E-2</v>
      </c>
      <c r="K21" s="12">
        <v>412</v>
      </c>
      <c r="L21" s="12">
        <v>10770</v>
      </c>
      <c r="M21" s="12">
        <v>7198</v>
      </c>
      <c r="N21" s="12">
        <v>7198</v>
      </c>
      <c r="O21" s="12">
        <v>3363</v>
      </c>
      <c r="P21" s="12">
        <v>2179</v>
      </c>
      <c r="Q21" s="12">
        <v>3414</v>
      </c>
      <c r="R21" s="12">
        <v>3354</v>
      </c>
      <c r="S21" s="12">
        <v>2109</v>
      </c>
      <c r="T21" s="25">
        <f t="shared" si="2"/>
        <v>0.1958217270194986</v>
      </c>
      <c r="U21" s="19">
        <v>12.47486099609606</v>
      </c>
      <c r="V21" s="12">
        <v>2228</v>
      </c>
      <c r="W21" s="11">
        <f t="shared" si="3"/>
        <v>0.62849083215796897</v>
      </c>
      <c r="X21" s="19">
        <v>13.178753105406365</v>
      </c>
      <c r="Y21" s="12">
        <v>4337</v>
      </c>
      <c r="Z21" s="19">
        <v>25.653614101502423</v>
      </c>
      <c r="AA21" s="12">
        <v>17</v>
      </c>
      <c r="AB21" s="12">
        <v>2386</v>
      </c>
      <c r="AC21" s="19">
        <v>87.080291748046875</v>
      </c>
      <c r="AD21" s="12">
        <v>354</v>
      </c>
      <c r="AE21" s="12">
        <v>0</v>
      </c>
      <c r="AF21" s="12">
        <v>148</v>
      </c>
      <c r="AG21" s="12">
        <v>113</v>
      </c>
      <c r="AH21" s="19">
        <v>2.605487585067749</v>
      </c>
      <c r="AI21" s="12">
        <v>2150</v>
      </c>
      <c r="AJ21" s="12">
        <v>2034</v>
      </c>
      <c r="AK21" s="12">
        <v>4184</v>
      </c>
      <c r="AL21" s="19">
        <v>24.748609960960607</v>
      </c>
    </row>
    <row r="22" spans="1:38" x14ac:dyDescent="0.2">
      <c r="A22" s="18">
        <v>46286</v>
      </c>
      <c r="B22" s="12">
        <v>14366</v>
      </c>
      <c r="C22" s="12">
        <v>13138</v>
      </c>
      <c r="D22" s="11">
        <f t="shared" si="0"/>
        <v>0.9145203953779758</v>
      </c>
      <c r="E22" s="12">
        <v>7733</v>
      </c>
      <c r="F22" s="12">
        <v>3439</v>
      </c>
      <c r="G22" s="12">
        <v>2675</v>
      </c>
      <c r="H22" s="12">
        <v>3436</v>
      </c>
      <c r="I22" s="24">
        <v>761</v>
      </c>
      <c r="J22" s="25">
        <f t="shared" si="1"/>
        <v>5.7923580453645915E-2</v>
      </c>
      <c r="K22" s="12">
        <v>416</v>
      </c>
      <c r="L22" s="12">
        <v>8576</v>
      </c>
      <c r="M22" s="12">
        <v>6998</v>
      </c>
      <c r="N22" s="12">
        <v>6998</v>
      </c>
      <c r="O22" s="12">
        <v>2461</v>
      </c>
      <c r="P22" s="12">
        <v>1765</v>
      </c>
      <c r="Q22" s="12">
        <v>2510</v>
      </c>
      <c r="R22" s="12">
        <v>2460</v>
      </c>
      <c r="S22" s="12">
        <v>1756</v>
      </c>
      <c r="T22" s="25">
        <f t="shared" si="2"/>
        <v>0.20475746268656717</v>
      </c>
      <c r="U22" s="19">
        <v>12.223305025755256</v>
      </c>
      <c r="V22" s="12">
        <v>2259</v>
      </c>
      <c r="W22" s="11">
        <f t="shared" si="3"/>
        <v>0.65745052386495928</v>
      </c>
      <c r="X22" s="19">
        <v>15.724627592927746</v>
      </c>
      <c r="Y22" s="12">
        <v>4015</v>
      </c>
      <c r="Z22" s="19">
        <v>27.947932618683001</v>
      </c>
      <c r="AA22" s="12">
        <v>9</v>
      </c>
      <c r="AB22" s="12">
        <v>1899</v>
      </c>
      <c r="AC22" s="19">
        <v>88.490211486816406</v>
      </c>
      <c r="AD22" s="12">
        <v>247</v>
      </c>
      <c r="AE22" s="12">
        <v>0</v>
      </c>
      <c r="AF22" s="12">
        <v>63</v>
      </c>
      <c r="AG22" s="12">
        <v>99</v>
      </c>
      <c r="AH22" s="19">
        <v>2.4657533168792725</v>
      </c>
      <c r="AI22" s="12">
        <v>2196</v>
      </c>
      <c r="AJ22" s="12">
        <v>1696</v>
      </c>
      <c r="AK22" s="12">
        <v>3892</v>
      </c>
      <c r="AL22" s="19">
        <v>27.091744396491716</v>
      </c>
    </row>
    <row r="23" spans="1:38" x14ac:dyDescent="0.2">
      <c r="C23" s="2"/>
      <c r="D23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32554-809D-7544-8E4A-62FE62719BFB}">
  <dimension ref="A1:Q32"/>
  <sheetViews>
    <sheetView topLeftCell="P13" zoomScale="226" workbookViewId="0">
      <selection activeCell="E5" sqref="A5:XFD5"/>
    </sheetView>
  </sheetViews>
  <sheetFormatPr baseColWidth="10" defaultRowHeight="15" x14ac:dyDescent="0.2"/>
  <cols>
    <col min="1" max="1" width="24" bestFit="1" customWidth="1"/>
    <col min="2" max="2" width="27.6640625" style="4" bestFit="1" customWidth="1"/>
    <col min="3" max="3" width="12.6640625" bestFit="1" customWidth="1"/>
    <col min="4" max="5" width="10.83203125" style="6"/>
    <col min="7" max="7" width="38" bestFit="1" customWidth="1"/>
    <col min="8" max="9" width="6.6640625" bestFit="1" customWidth="1"/>
    <col min="12" max="12" width="38" bestFit="1" customWidth="1"/>
    <col min="16" max="16" width="54" bestFit="1" customWidth="1"/>
  </cols>
  <sheetData>
    <row r="1" spans="1:17" x14ac:dyDescent="0.2">
      <c r="B1" s="10"/>
      <c r="C1" s="10" t="s">
        <v>53</v>
      </c>
      <c r="D1" s="11"/>
      <c r="G1" s="10" t="s">
        <v>90</v>
      </c>
      <c r="H1" s="10" t="s">
        <v>55</v>
      </c>
      <c r="I1" s="10" t="s">
        <v>56</v>
      </c>
    </row>
    <row r="2" spans="1:17" x14ac:dyDescent="0.2">
      <c r="B2" s="10"/>
      <c r="C2" s="10" t="s">
        <v>55</v>
      </c>
      <c r="D2" s="11" t="s">
        <v>56</v>
      </c>
      <c r="G2" s="10" t="s">
        <v>77</v>
      </c>
      <c r="H2" s="12">
        <v>75187</v>
      </c>
      <c r="I2" s="11">
        <f>H2/$C$10</f>
        <v>0.75755927011859059</v>
      </c>
      <c r="L2" s="8" t="s">
        <v>64</v>
      </c>
      <c r="M2" t="s">
        <v>67</v>
      </c>
    </row>
    <row r="3" spans="1:17" x14ac:dyDescent="0.2">
      <c r="B3" s="10" t="s">
        <v>6</v>
      </c>
      <c r="C3" s="10">
        <v>177733</v>
      </c>
      <c r="D3" s="11"/>
      <c r="G3" s="20" t="s">
        <v>89</v>
      </c>
      <c r="H3" s="22">
        <v>7889</v>
      </c>
      <c r="I3" s="21">
        <f t="shared" ref="I3:I14" si="0">H3/$C$10</f>
        <v>7.9486946971757899E-2</v>
      </c>
      <c r="L3" s="9" t="s">
        <v>77</v>
      </c>
      <c r="M3" s="2">
        <v>75197</v>
      </c>
      <c r="P3" s="8" t="s">
        <v>64</v>
      </c>
      <c r="Q3" t="s">
        <v>67</v>
      </c>
    </row>
    <row r="4" spans="1:17" x14ac:dyDescent="0.2">
      <c r="B4" s="10" t="s">
        <v>70</v>
      </c>
      <c r="C4" s="10">
        <v>164254</v>
      </c>
      <c r="D4" s="11">
        <f>C4/C3</f>
        <v>0.92416152318365186</v>
      </c>
      <c r="G4" s="10" t="s">
        <v>78</v>
      </c>
      <c r="H4" s="12">
        <v>7036</v>
      </c>
      <c r="I4" s="11">
        <f t="shared" si="0"/>
        <v>7.0892401938558572E-2</v>
      </c>
      <c r="J4" t="s">
        <v>92</v>
      </c>
      <c r="L4" s="9" t="s">
        <v>65</v>
      </c>
      <c r="M4" s="2">
        <v>7889</v>
      </c>
      <c r="P4" s="9" t="s">
        <v>57</v>
      </c>
      <c r="Q4" s="2">
        <v>76</v>
      </c>
    </row>
    <row r="5" spans="1:17" x14ac:dyDescent="0.2">
      <c r="A5" s="9" t="s">
        <v>60</v>
      </c>
      <c r="B5" s="10" t="s">
        <v>69</v>
      </c>
      <c r="C5" s="12">
        <v>136</v>
      </c>
      <c r="D5" s="11">
        <f>C5/C4</f>
        <v>8.2798592423928791E-4</v>
      </c>
      <c r="G5" s="23" t="s">
        <v>79</v>
      </c>
      <c r="H5" s="24">
        <v>4604</v>
      </c>
      <c r="I5" s="25">
        <f t="shared" si="0"/>
        <v>4.638837670908523E-2</v>
      </c>
      <c r="L5" s="9" t="s">
        <v>78</v>
      </c>
      <c r="M5" s="2">
        <v>7036</v>
      </c>
      <c r="P5" s="9" t="s">
        <v>58</v>
      </c>
      <c r="Q5" s="2">
        <v>99234</v>
      </c>
    </row>
    <row r="6" spans="1:17" x14ac:dyDescent="0.2">
      <c r="A6" s="9" t="s">
        <v>61</v>
      </c>
      <c r="B6" s="10" t="s">
        <v>71</v>
      </c>
      <c r="C6" s="12">
        <v>72</v>
      </c>
      <c r="D6" s="11">
        <f>C6/C4</f>
        <v>4.3834548930315244E-4</v>
      </c>
      <c r="G6" s="10" t="s">
        <v>80</v>
      </c>
      <c r="H6" s="12">
        <v>2309</v>
      </c>
      <c r="I6" s="11">
        <f t="shared" si="0"/>
        <v>2.3264718032423502E-2</v>
      </c>
      <c r="L6" s="9" t="s">
        <v>79</v>
      </c>
      <c r="M6" s="2">
        <v>4604</v>
      </c>
      <c r="P6" s="9" t="s">
        <v>59</v>
      </c>
      <c r="Q6" s="2">
        <v>15</v>
      </c>
    </row>
    <row r="7" spans="1:17" x14ac:dyDescent="0.2">
      <c r="A7" s="9" t="s">
        <v>68</v>
      </c>
      <c r="B7" s="10" t="s">
        <v>72</v>
      </c>
      <c r="C7" s="12">
        <v>3</v>
      </c>
      <c r="D7" s="11">
        <f>C7/C4</f>
        <v>1.8264395387631351E-5</v>
      </c>
      <c r="G7" s="10" t="s">
        <v>83</v>
      </c>
      <c r="H7" s="12">
        <v>911</v>
      </c>
      <c r="I7" s="11">
        <f t="shared" si="0"/>
        <v>9.1789337927838058E-3</v>
      </c>
      <c r="L7" s="9" t="s">
        <v>80</v>
      </c>
      <c r="M7" s="2">
        <v>2309</v>
      </c>
      <c r="P7" s="9" t="s">
        <v>60</v>
      </c>
      <c r="Q7" s="2">
        <v>136</v>
      </c>
    </row>
    <row r="8" spans="1:17" x14ac:dyDescent="0.2">
      <c r="A8" s="9" t="s">
        <v>62</v>
      </c>
      <c r="B8" s="10" t="s">
        <v>73</v>
      </c>
      <c r="C8" s="12">
        <v>21116</v>
      </c>
      <c r="D8" s="11">
        <f>C8/C4</f>
        <v>0.1285569910017412</v>
      </c>
      <c r="G8" s="10" t="s">
        <v>81</v>
      </c>
      <c r="H8" s="12">
        <v>666</v>
      </c>
      <c r="I8" s="11">
        <f t="shared" si="0"/>
        <v>6.7103950669528158E-3</v>
      </c>
      <c r="L8" s="9" t="s">
        <v>83</v>
      </c>
      <c r="M8" s="2">
        <v>911</v>
      </c>
      <c r="P8" s="9" t="s">
        <v>61</v>
      </c>
      <c r="Q8" s="2">
        <v>72</v>
      </c>
    </row>
    <row r="9" spans="1:17" x14ac:dyDescent="0.2">
      <c r="B9" s="10" t="s">
        <v>10</v>
      </c>
      <c r="C9" s="12">
        <v>142927</v>
      </c>
      <c r="D9" s="11">
        <f>C9/C4</f>
        <v>0.87015841318932874</v>
      </c>
      <c r="G9" s="10" t="s">
        <v>82</v>
      </c>
      <c r="H9" s="12">
        <v>613</v>
      </c>
      <c r="I9" s="11">
        <f t="shared" si="0"/>
        <v>6.1763846487118256E-3</v>
      </c>
      <c r="L9" s="9" t="s">
        <v>81</v>
      </c>
      <c r="M9" s="2">
        <v>666</v>
      </c>
      <c r="P9" s="9" t="s">
        <v>68</v>
      </c>
      <c r="Q9" s="2">
        <v>3</v>
      </c>
    </row>
    <row r="10" spans="1:17" x14ac:dyDescent="0.2">
      <c r="B10" s="10" t="s">
        <v>74</v>
      </c>
      <c r="C10" s="12">
        <v>99249</v>
      </c>
      <c r="D10" s="11">
        <f>C10/C9</f>
        <v>0.69440343671944416</v>
      </c>
      <c r="G10" s="10" t="s">
        <v>84</v>
      </c>
      <c r="H10" s="12">
        <v>11</v>
      </c>
      <c r="I10" s="11">
        <f t="shared" si="0"/>
        <v>1.1083235095567713E-4</v>
      </c>
      <c r="L10" s="9" t="s">
        <v>82</v>
      </c>
      <c r="M10" s="2">
        <v>613</v>
      </c>
      <c r="P10" s="9" t="s">
        <v>62</v>
      </c>
      <c r="Q10" s="2">
        <v>21116</v>
      </c>
    </row>
    <row r="11" spans="1:17" x14ac:dyDescent="0.2">
      <c r="B11" s="10" t="s">
        <v>11</v>
      </c>
      <c r="C11" s="12">
        <v>43602</v>
      </c>
      <c r="D11" s="11">
        <f>C11/C9</f>
        <v>0.30506482330140561</v>
      </c>
      <c r="G11" s="10" t="s">
        <v>85</v>
      </c>
      <c r="H11" s="12">
        <v>4</v>
      </c>
      <c r="I11" s="11">
        <f t="shared" si="0"/>
        <v>4.0302673074791683E-5</v>
      </c>
      <c r="L11" s="9" t="s">
        <v>84</v>
      </c>
      <c r="M11" s="2">
        <v>11</v>
      </c>
      <c r="P11" s="9" t="s">
        <v>63</v>
      </c>
      <c r="Q11" s="2">
        <v>43602</v>
      </c>
    </row>
    <row r="12" spans="1:17" x14ac:dyDescent="0.2">
      <c r="B12" s="10" t="s">
        <v>12</v>
      </c>
      <c r="C12" s="12">
        <v>30012</v>
      </c>
      <c r="D12" s="11">
        <f>C12/C11</f>
        <v>0.68831704967662033</v>
      </c>
      <c r="G12" s="10" t="s">
        <v>86</v>
      </c>
      <c r="H12" s="12">
        <v>3</v>
      </c>
      <c r="I12" s="11">
        <f t="shared" si="0"/>
        <v>3.0227004806093763E-5</v>
      </c>
      <c r="L12" s="9" t="s">
        <v>85</v>
      </c>
      <c r="M12" s="2">
        <v>4</v>
      </c>
      <c r="P12" s="9" t="s">
        <v>65</v>
      </c>
      <c r="Q12" s="2">
        <v>13479</v>
      </c>
    </row>
    <row r="13" spans="1:17" x14ac:dyDescent="0.2">
      <c r="B13" s="10" t="s">
        <v>75</v>
      </c>
      <c r="C13" s="12">
        <v>108987</v>
      </c>
      <c r="D13" s="11">
        <f>C13/C4</f>
        <v>0.66352722003725939</v>
      </c>
      <c r="G13" s="10" t="s">
        <v>87</v>
      </c>
      <c r="H13" s="12">
        <v>1</v>
      </c>
      <c r="I13" s="11">
        <f t="shared" si="0"/>
        <v>1.0075668268697921E-5</v>
      </c>
      <c r="L13" s="9" t="s">
        <v>86</v>
      </c>
      <c r="M13" s="2">
        <v>3</v>
      </c>
      <c r="P13" s="9" t="s">
        <v>66</v>
      </c>
      <c r="Q13" s="2">
        <v>177733</v>
      </c>
    </row>
    <row r="14" spans="1:17" x14ac:dyDescent="0.2">
      <c r="B14" s="10" t="s">
        <v>76</v>
      </c>
      <c r="C14" s="12">
        <v>26360</v>
      </c>
      <c r="D14" s="11">
        <f>C14/C13</f>
        <v>0.24186370851569453</v>
      </c>
      <c r="G14" s="10" t="s">
        <v>88</v>
      </c>
      <c r="H14" s="12">
        <v>15</v>
      </c>
      <c r="I14" s="11">
        <f t="shared" si="0"/>
        <v>1.5113502403046883E-4</v>
      </c>
      <c r="L14" s="9" t="s">
        <v>87</v>
      </c>
      <c r="M14" s="2">
        <v>1</v>
      </c>
    </row>
    <row r="15" spans="1:17" x14ac:dyDescent="0.2">
      <c r="B15" s="10" t="s">
        <v>15</v>
      </c>
      <c r="C15" s="12">
        <f>SUM(C14,C12)</f>
        <v>56372</v>
      </c>
      <c r="D15" s="11">
        <f>C15/C3</f>
        <v>0.31717238779517593</v>
      </c>
      <c r="G15" s="10" t="s">
        <v>91</v>
      </c>
      <c r="H15" s="15">
        <f>SUM(H2:H14)</f>
        <v>99249</v>
      </c>
      <c r="I15" s="14"/>
      <c r="L15" s="9" t="s">
        <v>88</v>
      </c>
      <c r="M15" s="2">
        <v>1</v>
      </c>
    </row>
    <row r="16" spans="1:17" x14ac:dyDescent="0.2">
      <c r="B16" s="10" t="s">
        <v>16</v>
      </c>
      <c r="C16" s="12">
        <v>52641</v>
      </c>
      <c r="D16" s="11">
        <f>C16/C15</f>
        <v>0.93381465976016464</v>
      </c>
      <c r="E16" s="13">
        <f>C16/C3</f>
        <v>0.29618022539427119</v>
      </c>
      <c r="L16" s="9" t="s">
        <v>66</v>
      </c>
      <c r="M16" s="2">
        <v>99245</v>
      </c>
    </row>
    <row r="17" spans="2:10" x14ac:dyDescent="0.2">
      <c r="B17" s="10" t="s">
        <v>17</v>
      </c>
      <c r="C17" s="12">
        <v>52309</v>
      </c>
      <c r="D17" s="11">
        <f>C17/C16</f>
        <v>0.99369312892992157</v>
      </c>
      <c r="E17" s="13">
        <f>C17/C3</f>
        <v>0.29431225489920276</v>
      </c>
    </row>
    <row r="20" spans="2:10" x14ac:dyDescent="0.2">
      <c r="H20" s="4"/>
      <c r="I20" s="5"/>
      <c r="J20" s="6"/>
    </row>
    <row r="21" spans="2:10" x14ac:dyDescent="0.2">
      <c r="H21" s="4"/>
      <c r="I21" s="5"/>
      <c r="J21" s="6"/>
    </row>
    <row r="22" spans="2:10" x14ac:dyDescent="0.2">
      <c r="H22" s="4"/>
      <c r="I22" s="5"/>
      <c r="J22" s="6"/>
    </row>
    <row r="23" spans="2:10" x14ac:dyDescent="0.2">
      <c r="H23" s="4"/>
      <c r="I23" s="5"/>
      <c r="J23" s="6"/>
    </row>
    <row r="24" spans="2:10" x14ac:dyDescent="0.2">
      <c r="H24" s="4"/>
      <c r="I24" s="5"/>
      <c r="J24" s="6"/>
    </row>
    <row r="25" spans="2:10" x14ac:dyDescent="0.2">
      <c r="H25" s="4"/>
      <c r="I25" s="5"/>
      <c r="J25" s="6"/>
    </row>
    <row r="26" spans="2:10" x14ac:dyDescent="0.2">
      <c r="H26" s="4"/>
      <c r="I26" s="5"/>
      <c r="J26" s="6"/>
    </row>
    <row r="27" spans="2:10" x14ac:dyDescent="0.2">
      <c r="H27" s="4"/>
      <c r="I27" s="5"/>
      <c r="J27" s="6"/>
    </row>
    <row r="28" spans="2:10" x14ac:dyDescent="0.2">
      <c r="H28" s="4"/>
      <c r="I28" s="5"/>
      <c r="J28" s="6"/>
    </row>
    <row r="29" spans="2:10" x14ac:dyDescent="0.2">
      <c r="H29" s="4"/>
      <c r="I29" s="5"/>
      <c r="J29" s="6"/>
    </row>
    <row r="30" spans="2:10" x14ac:dyDescent="0.2">
      <c r="H30" s="4"/>
      <c r="I30" s="5"/>
      <c r="J30" s="6"/>
    </row>
    <row r="31" spans="2:10" x14ac:dyDescent="0.2">
      <c r="H31" s="4"/>
      <c r="I31" s="5"/>
      <c r="J31" s="6"/>
    </row>
    <row r="32" spans="2:10" x14ac:dyDescent="0.2">
      <c r="H32" s="4"/>
      <c r="I32" s="5"/>
      <c r="J3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Query result</vt:lpstr>
      <vt:lpstr>L2</vt:lpstr>
      <vt:lpstr>pivots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Dylan Beaufort Dias</cp:lastModifiedBy>
  <dcterms:created xsi:type="dcterms:W3CDTF">2026-09-22T04:22:26Z</dcterms:created>
  <dcterms:modified xsi:type="dcterms:W3CDTF">2026-09-24T14:02:23Z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9a4353c-3ef9-494d-9050-7b938c172e5f_Enabled">
    <vt:lpwstr>true</vt:lpwstr>
  </property>
  <property fmtid="{D5CDD505-2E9C-101B-9397-08002B2CF9AE}" pid="3" name="MSIP_Label_b9a4353c-3ef9-494d-9050-7b938c172e5f_SetDate">
    <vt:lpwstr>2026-09-22T05:46:51Z</vt:lpwstr>
  </property>
  <property fmtid="{D5CDD505-2E9C-101B-9397-08002B2CF9AE}" pid="4" name="MSIP_Label_b9a4353c-3ef9-494d-9050-7b938c172e5f_Method">
    <vt:lpwstr>Standard</vt:lpwstr>
  </property>
  <property fmtid="{D5CDD505-2E9C-101B-9397-08002B2CF9AE}" pid="5" name="MSIP_Label_b9a4353c-3ef9-494d-9050-7b938c172e5f_Name">
    <vt:lpwstr>Internal Payu Group</vt:lpwstr>
  </property>
  <property fmtid="{D5CDD505-2E9C-101B-9397-08002B2CF9AE}" pid="6" name="MSIP_Label_b9a4353c-3ef9-494d-9050-7b938c172e5f_SiteId">
    <vt:lpwstr>c19dc714-79ef-46a7-ab07-1650ae76b856</vt:lpwstr>
  </property>
  <property fmtid="{D5CDD505-2E9C-101B-9397-08002B2CF9AE}" pid="7" name="MSIP_Label_b9a4353c-3ef9-494d-9050-7b938c172e5f_ActionId">
    <vt:lpwstr>eb2dbb6e-8e52-42a7-ab06-de0740dea626</vt:lpwstr>
  </property>
  <property fmtid="{D5CDD505-2E9C-101B-9397-08002B2CF9AE}" pid="8" name="MSIP_Label_b9a4353c-3ef9-494d-9050-7b938c172e5f_ContentBits">
    <vt:lpwstr>0</vt:lpwstr>
  </property>
  <property fmtid="{D5CDD505-2E9C-101B-9397-08002B2CF9AE}" pid="9" name="MSIP_Label_b9a4353c-3ef9-494d-9050-7b938c172e5f_Tag">
    <vt:lpwstr>50, 3, 0, 1</vt:lpwstr>
  </property>
</Properties>
</file>